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quipo\Documents\REDOBLE\CUADRO DE INCIDENCIAS\"/>
    </mc:Choice>
  </mc:AlternateContent>
  <xr:revisionPtr revIDLastSave="0" documentId="13_ncr:1_{BD48FBA2-ED4C-4E61-B82F-2ACE5982C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3" r:id="rId2"/>
    <sheet name="REFERENCIA" sheetId="2" state="hidden" r:id="rId3"/>
  </sheets>
  <calcPr calcId="191029"/>
</workbook>
</file>

<file path=xl/calcChain.xml><?xml version="1.0" encoding="utf-8"?>
<calcChain xmlns="http://schemas.openxmlformats.org/spreadsheetml/2006/main">
  <c r="H14" i="1" l="1"/>
  <c r="J50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<sst xmlns="http://schemas.openxmlformats.org/spreadsheetml/2006/main" count="305" uniqueCount="97">
  <si>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</si>
  <si>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</si>
  <si>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</si>
  <si>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</si>
  <si>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</si>
  <si>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</si>
  <si>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</si>
  <si>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</si>
  <si>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</si>
  <si>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</si>
  <si>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</si>
  <si>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</si>
  <si>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</si>
  <si>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</si>
  <si>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</si>
  <si>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</si>
  <si>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</si>
  <si>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</si>
  <si>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</si>
  <si>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</si>
  <si>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</si>
  <si>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</si>
  <si>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</si>
  <si>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</si>
  <si>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</si>
  <si>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</si>
  <si>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</si>
  <si>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</si>
  <si>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</si>
  <si>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TUCACAS</t>
  </si>
  <si>
    <t>EL BOSQUE</t>
  </si>
  <si>
    <t>NAGUANAGUA</t>
  </si>
  <si>
    <t>ADOLFO'S VICAR, C.A</t>
  </si>
  <si>
    <t>FRUMIX, C.A</t>
  </si>
  <si>
    <t>INVERSIONES LAS PATRONAS, C.A</t>
  </si>
  <si>
    <t>ECO CARNES, C.A</t>
  </si>
  <si>
    <t>AGROPECUARIA PUNTA LARGA, C.A|</t>
  </si>
  <si>
    <t>VERONA EMBUTIDOS, C.A</t>
  </si>
  <si>
    <t>CERVECERIA REGIONAL</t>
  </si>
  <si>
    <t>DISTRIBUIDORA VPA, C.A</t>
  </si>
  <si>
    <t>HIELO BARQUISIMEMTO, C,A</t>
  </si>
  <si>
    <t>AGROPECUARIA LATIN FRUITS, C.A</t>
  </si>
  <si>
    <t>SAPORI, C.A</t>
  </si>
  <si>
    <t>COMERCIALIZADORA Y FERREAGRO SANTOS 7</t>
  </si>
  <si>
    <t>ALIMENTOS POLAR COMERCIAL, C.A</t>
  </si>
  <si>
    <t>CAVA LUXOR</t>
  </si>
  <si>
    <t>SERVICIOS SEPORVEN, C.A</t>
  </si>
  <si>
    <t>HATO EL OSO, C.A</t>
  </si>
  <si>
    <t>DISTRIBUIDORA GADUCA,C .A</t>
  </si>
  <si>
    <t>INVERSIONES AGROPECUARIA JEANDAVID, C.A</t>
  </si>
  <si>
    <t>YEFFERSON MORGADO</t>
  </si>
  <si>
    <t>SUPLIDORA EL VIGIA</t>
  </si>
  <si>
    <t>DISTRIBUIDORA PARADIS FRESH, C.A</t>
  </si>
  <si>
    <t>NEOPAPEL, C.A</t>
  </si>
  <si>
    <t>INVERSIONES  LAS PATRONAS, C.A</t>
  </si>
  <si>
    <t>300001885</t>
  </si>
  <si>
    <t>3005</t>
  </si>
  <si>
    <t>3000012114</t>
  </si>
  <si>
    <t>D-000117245</t>
  </si>
  <si>
    <t>23/04/026</t>
  </si>
  <si>
    <t>RECEPCION</t>
  </si>
  <si>
    <t>GERENTE JUAN MEZA</t>
  </si>
  <si>
    <t>SUB VIRGILIO ARAUJO</t>
  </si>
  <si>
    <t>SUB GENESIS COBOS</t>
  </si>
  <si>
    <t>GERENTE ANGEL LARREAL</t>
  </si>
  <si>
    <t>SUB VICTOR SALCEDO</t>
  </si>
  <si>
    <t>SUB SUGGEY  CASTRO</t>
  </si>
  <si>
    <t>SUB CARLOS PARACO</t>
  </si>
  <si>
    <t>SUB REINALDO SILVA</t>
  </si>
  <si>
    <t>PCP ANDRES ARCILA</t>
  </si>
  <si>
    <t>SUB STEVEN SERVET</t>
  </si>
  <si>
    <t>PCP JOSE MALUENGA</t>
  </si>
  <si>
    <t>SUJB VIRGILIO ARAUJO</t>
  </si>
  <si>
    <t>LPCP VALERIA LAMEDA</t>
  </si>
  <si>
    <t>SUB MARIANGEL GRATEROL</t>
  </si>
  <si>
    <t>RECEPCION SIN AUTORIZACION DE CMF</t>
  </si>
  <si>
    <t>NUMERO DE CONTROL INCORRECTO</t>
  </si>
  <si>
    <t>ERROR EN TARA, 2.6KG DE CILANTRO</t>
  </si>
  <si>
    <t>ERROR EN TARA, 2.6KG DE GUAYABA</t>
  </si>
  <si>
    <t xml:space="preserve">ERROR EN EVA, 32.4KG </t>
  </si>
  <si>
    <t>NO FISCALIZÓ UNO O MAS PRODUCTOS, PAPA LAVADA 20KG, LECHUGA ROMANA 71.6KG|</t>
  </si>
  <si>
    <t>FALTANTE DE 3KG DE CAMBUR</t>
  </si>
  <si>
    <t>NO FISCALIZÓ, 28.8KG DE CHULETA</t>
  </si>
  <si>
    <t>FISCALIZACION A DESTIEMPO</t>
  </si>
  <si>
    <t>RECEPCION ELIMINADA EN APP</t>
  </si>
  <si>
    <t>SKU DUPLICADO</t>
  </si>
  <si>
    <t>FALTANTE DE 4 UND DE ESPINACA DE 200GR, 7264.04</t>
  </si>
  <si>
    <t>FALTANTE 2.6KG DE MANDARINA, 6283.42</t>
  </si>
  <si>
    <t>NOTA AL DORSO, 1 UND DE PACK PAW PATROL/SORPRESAS 4301.60</t>
  </si>
  <si>
    <t>FALTANTE DE 1.5KG DE TOPOCHO VERDE 916.65</t>
  </si>
  <si>
    <t>PRODUCTOS FRESCOS PROFRESCA, C.A</t>
  </si>
  <si>
    <t>FALTANTE DE 1UND DE VAINITA 250GR 596.23</t>
  </si>
  <si>
    <t>ERROR EN SKU INGRESADO</t>
  </si>
  <si>
    <t>AMARILLO</t>
  </si>
  <si>
    <t>RECUPERADO</t>
  </si>
  <si>
    <t>VERDE</t>
  </si>
  <si>
    <t>COBRADO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</si>
</sst>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 Rounded MT Bold"/>
      <family val="2"/>
    </font>
    <font>
      <sz val="10"/>
      <color theme="1"/>
      <name val="Calibri"/>
      <family val="2"/>
    </font>
    <font>
      <sz val="11"/>
      <color rgb="FF1A202C"/>
      <name val="Arial"/>
      <family val="2"/>
    </font>
    <font>
      <sz val="11"/>
      <color theme="1"/>
      <name val="Calibri"/>
      <family val="2"/>
    </font>
    <font>
      <sz val="11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59487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0" fillId="3" borderId="1" xfId="0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 wrapText="1"/>
    </xf>
    <xf numFmtId="14" fontId="0" fillId="0" borderId="1" xfId="0" applyNumberFormat="1" applyBorder="1"/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CF7994D-742B-48FD-B7B5-8CD0D7157A89}"/>
            </a:ext>
          </a:extLst>
        </xdr:cNvPr>
        <xdr:cNvSpPr txBox="1"/>
      </xdr:nvSpPr>
      <xdr:spPr>
        <a:xfrm>
          <a:off x="3052601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4A68D58-0208-44DC-9A5B-0A7362DCF02F}"/>
            </a:ext>
          </a:extLst>
        </xdr:cNvPr>
        <xdr:cNvSpPr txBox="1"/>
      </xdr:nvSpPr>
      <xdr:spPr>
        <a:xfrm>
          <a:off x="3052601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78C8955-286A-4032-BBD8-1E3AD59801DC}"/>
            </a:ext>
          </a:extLst>
        </xdr:cNvPr>
        <xdr:cNvSpPr txBox="1"/>
      </xdr:nvSpPr>
      <xdr:spPr>
        <a:xfrm>
          <a:off x="3052601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02734A2-DBB5-429C-84FA-A8881F65B24E}"/>
            </a:ext>
          </a:extLst>
        </xdr:cNvPr>
        <xdr:cNvSpPr txBox="1"/>
      </xdr:nvSpPr>
      <xdr:spPr>
        <a:xfrm>
          <a:off x="3052601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282FD55-A400-4F94-BD32-E707B41920E6}"/>
            </a:ext>
          </a:extLst>
        </xdr:cNvPr>
        <xdr:cNvSpPr txBox="1"/>
      </xdr:nvSpPr>
      <xdr:spPr>
        <a:xfrm>
          <a:off x="3052601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B6DCE26-2AE6-4CD0-B3C8-F254B6F4BF9F}"/>
            </a:ext>
          </a:extLst>
        </xdr:cNvPr>
        <xdr:cNvSpPr txBox="1"/>
      </xdr:nvSpPr>
      <xdr:spPr>
        <a:xfrm>
          <a:off x="3052601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46E5772-59EE-4ED0-B781-DDB81A05A2B7}"/>
            </a:ext>
          </a:extLst>
        </xdr:cNvPr>
        <xdr:cNvSpPr txBox="1"/>
      </xdr:nvSpPr>
      <xdr:spPr>
        <a:xfrm>
          <a:off x="3052601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19F6DFD-8AA2-4306-AD21-1F969B3631FC}"/>
            </a:ext>
          </a:extLst>
        </xdr:cNvPr>
        <xdr:cNvSpPr txBox="1"/>
      </xdr:nvSpPr>
      <xdr:spPr>
        <a:xfrm>
          <a:off x="3052601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92FDC34C-AB70-4614-8FFF-4078C9774050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692607E-FF5D-4CFD-B4BF-35FE01F89C0F}"/>
            </a:ext>
          </a:extLst>
        </xdr:cNvPr>
        <xdr:cNvSpPr txBox="1"/>
      </xdr:nvSpPr>
      <xdr:spPr>
        <a:xfrm>
          <a:off x="3052601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CB3B7DEC-1ABA-47DF-B794-BF259B68EFE0}"/>
            </a:ext>
          </a:extLst>
        </xdr:cNvPr>
        <xdr:cNvSpPr txBox="1"/>
      </xdr:nvSpPr>
      <xdr:spPr>
        <a:xfrm>
          <a:off x="3052601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AA931F8B-C805-425A-BE48-C5F59B744A64}"/>
            </a:ext>
          </a:extLst>
        </xdr:cNvPr>
        <xdr:cNvSpPr txBox="1"/>
      </xdr:nvSpPr>
      <xdr:spPr>
        <a:xfrm>
          <a:off x="3052601" y="190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66CAB09-DAF3-4A2C-9E93-076CCB98C0C7}"/>
            </a:ext>
          </a:extLst>
        </xdr:cNvPr>
        <xdr:cNvSpPr txBox="1"/>
      </xdr:nvSpPr>
      <xdr:spPr>
        <a:xfrm>
          <a:off x="305260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9472583B-924A-4841-A8B4-1DCBE9FE9AE7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C50F45A-C171-47A0-BA67-28EE21BFEB49}"/>
            </a:ext>
          </a:extLst>
        </xdr:cNvPr>
        <xdr:cNvSpPr txBox="1"/>
      </xdr:nvSpPr>
      <xdr:spPr>
        <a:xfrm>
          <a:off x="3052601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ECE6D0E3-4F6A-4F80-9B0F-70F8AE57D458}"/>
            </a:ext>
          </a:extLst>
        </xdr:cNvPr>
        <xdr:cNvSpPr txBox="1"/>
      </xdr:nvSpPr>
      <xdr:spPr>
        <a:xfrm>
          <a:off x="3052601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9A742941-6488-413B-92A1-C6F0F0D5CCBC}"/>
            </a:ext>
          </a:extLst>
        </xdr:cNvPr>
        <xdr:cNvSpPr txBox="1"/>
      </xdr:nvSpPr>
      <xdr:spPr>
        <a:xfrm>
          <a:off x="3052601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C77A68E8-BD46-40A2-9A45-A660F791A789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79B9A57-60DE-4B30-8C63-00AE002452B7}"/>
            </a:ext>
          </a:extLst>
        </xdr:cNvPr>
        <xdr:cNvSpPr txBox="1"/>
      </xdr:nvSpPr>
      <xdr:spPr>
        <a:xfrm>
          <a:off x="3052601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8A95FFDC-7DAA-4FD3-B2C1-A2A79ED11255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72AA03-AB32-45F7-BA1D-91EAB8EEC9EE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F2EB0AF3-4F33-43D7-9DD6-D8B8F7AE28E0}"/>
            </a:ext>
          </a:extLst>
        </xdr:cNvPr>
        <xdr:cNvSpPr txBox="1"/>
      </xdr:nvSpPr>
      <xdr:spPr>
        <a:xfrm>
          <a:off x="305260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50E8AF9-8E12-4B09-BB88-3D25B55D8918}"/>
            </a:ext>
          </a:extLst>
        </xdr:cNvPr>
        <xdr:cNvSpPr txBox="1"/>
      </xdr:nvSpPr>
      <xdr:spPr>
        <a:xfrm>
          <a:off x="3052601" y="228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7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F76666FE-3951-4A31-8690-35AE31698F34}"/>
            </a:ext>
          </a:extLst>
        </xdr:cNvPr>
        <xdr:cNvSpPr txBox="1"/>
      </xdr:nvSpPr>
      <xdr:spPr>
        <a:xfrm>
          <a:off x="3052601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C9513C8-D382-4AE3-B196-AAF1DD3ECD94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B366EA3-A855-4C2B-89E5-DD13EE486125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28384F2D-13D1-4D87-80AC-449A2D69AF85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D75F71D9-EF60-47DC-9C5F-9D1BB2D31B6A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C0A3C5DC-5C4C-4344-A76A-FCD8B807D148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8181737E-6237-41AD-B840-1A915CC8673C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CC194ADA-EF53-4FD0-8D2D-908BB0B65937}"/>
            </a:ext>
          </a:extLst>
        </xdr:cNvPr>
        <xdr:cNvSpPr txBox="1"/>
      </xdr:nvSpPr>
      <xdr:spPr>
        <a:xfrm>
          <a:off x="3052601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360F2ED5-FD7F-438F-9DA1-D7CE86FD4351}"/>
            </a:ext>
          </a:extLst>
        </xdr:cNvPr>
        <xdr:cNvSpPr txBox="1"/>
      </xdr:nvSpPr>
      <xdr:spPr>
        <a:xfrm>
          <a:off x="3052601" y="439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98852F2C-94A9-4D40-BF8A-696C85F76BD0}"/>
            </a:ext>
          </a:extLst>
        </xdr:cNvPr>
        <xdr:cNvSpPr txBox="1"/>
      </xdr:nvSpPr>
      <xdr:spPr>
        <a:xfrm>
          <a:off x="3052601" y="439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35DDB15-3729-4049-902A-C14B06D56C17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503350D-1299-4D1F-AF47-558215D36FFD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4C62AD9-1F8B-4453-8D09-D0056E05FB8A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9159DE10-3E5C-419F-BAA3-FF32D8413265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7369E6A-8AAB-4A1B-B452-2270A0377B7C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CA630C4E-F4B2-45AC-AFF1-F2E291807CDA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A7599229-D1EA-4074-90DF-4E7FA701C3F5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F98FF8AF-CD99-43F0-A0FB-7B00781C9178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3D1A8947-711E-4387-ADEE-C57AAB3B1C33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5628EE06-E86C-49B5-9666-D0E336CD9FAE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1922209F-CB4A-455B-800B-021E2A7211C2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4E066125-2A3E-4381-8C3B-7A6F98AB34B1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A397DE42-D4C0-4B94-91E6-6E375170A71D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E01FAFB9-3D22-4F88-8B4E-2F421EECCC77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A1951815-32AD-4B89-BEDA-7520D8F1DFEB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CD8E1159-271A-4D02-AE97-4D75882EFCB6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53A18A23-701D-400B-B012-EFA93EBBCAD0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0FB61393-DF39-4749-8214-EA09AABC3605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C3522D01-824C-4695-9DF1-F0A5B55E6C57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4214B2DA-AC82-49CA-8E61-AB9018A557FC}"/>
            </a:ext>
          </a:extLst>
        </xdr:cNvPr>
        <xdr:cNvSpPr txBox="1"/>
      </xdr:nvSpPr>
      <xdr:spPr>
        <a:xfrm>
          <a:off x="3052601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DF515DC3-CA73-47AA-A1F0-C585C5F64DBA}"/>
            </a:ext>
          </a:extLst>
        </xdr:cNvPr>
        <xdr:cNvSpPr txBox="1"/>
      </xdr:nvSpPr>
      <xdr:spPr>
        <a:xfrm>
          <a:off x="3052601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49D08C5C-D84D-4EA3-9621-C8E48C6C9855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40A008F3-40CC-46E2-8DB4-4DFD278D36B5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ED92FBC4-F061-4DF2-8653-2128DE278B77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A7DE0A94-4935-446F-8BB4-B789C2188B98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BF5EA534-64E6-497F-B310-F200BEF6E0CF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2F734C56-CB0D-4C1B-8A04-734089772648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9710101E-C6E4-4643-87D8-9AA5ECB9E8DD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62DDE8F2-D913-4E62-90BD-A8A0AB4CA483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DDB93E1F-EC2D-46DC-9B21-29C923DC7CF9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79A9AD84-BE33-4B2C-AFC8-47A59E733AD2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FF85121F-EE53-437B-848D-A81400E38741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12502C8C-3921-44FA-A3D2-44D45D06992D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5CB4EDBE-85AF-4F3C-AC39-BF53ED98D242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3CB00B36-E5B9-48D2-B2B9-E8F10256BB71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4E44F5BD-9E02-4EE0-BEF1-E7DBF143C3A9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6686B2E8-44CB-4FBD-A7E1-250118A96F85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16EFCBB6-2C19-43FA-8872-F7A40F59CFF4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54524EFF-081E-455D-91B0-1D5F1B89129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C4167024-169A-43CD-8D32-972924154C91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15F4D81E-E7C8-426B-BF69-F8BD10CD037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603DBD74-7730-4E6A-99F0-497884C528C5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1FBDC636-78FB-44E4-9EC0-19F8AC372646}"/>
            </a:ext>
          </a:extLst>
        </xdr:cNvPr>
        <xdr:cNvSpPr txBox="1"/>
      </xdr:nvSpPr>
      <xdr:spPr>
        <a:xfrm>
          <a:off x="3052601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F7A9EDCC-3AD2-4271-B043-22D3EAC3D878}"/>
            </a:ext>
          </a:extLst>
        </xdr:cNvPr>
        <xdr:cNvSpPr txBox="1"/>
      </xdr:nvSpPr>
      <xdr:spPr>
        <a:xfrm>
          <a:off x="3052601" y="439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A05508AC-4F90-4DB5-821F-D72E86108E50}"/>
            </a:ext>
          </a:extLst>
        </xdr:cNvPr>
        <xdr:cNvSpPr txBox="1"/>
      </xdr:nvSpPr>
      <xdr:spPr>
        <a:xfrm>
          <a:off x="3052601" y="439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97A1FC03-9278-457F-AFE3-4C92DB15B728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F17BF97A-A652-4C5C-80BC-467E8FAF7F62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811ABB08-2508-482C-8EB3-0FB9C0B259CA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E5FD72CD-9321-4ABA-9F25-CFCF27FD5F79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EE5F92B2-9E1D-4900-8DE6-FA831732390C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76EBF101-5224-428F-B958-FC3C60442A38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E12363C7-F598-45F2-AA8D-59E0905FEFFE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3DBF8150-9C5A-4740-9841-2E4584E0F99A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13E0F143-BA32-4656-BA82-FA5F7612715A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7219173A-543F-4ECE-A402-6CB2FAE4AAA1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3DB1A3A9-C613-46FC-B996-735F07E5DE4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523FBB43-1A07-4ADE-BB1A-FCEBFA6B8369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EFF80933-94D4-4CA0-884D-40423998C4C9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901506A4-A90D-4200-89BB-AD779D37BFDF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A4E8208A-58BE-48C9-82E4-B2638ACAA54C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58AACC08-670B-49AF-9907-9988995B5BF4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9E167A9D-DF3B-4206-9E4C-EAC0EDB2E151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651BE143-7217-4BE5-9A5A-64C47F111387}"/>
            </a:ext>
          </a:extLst>
        </xdr:cNvPr>
        <xdr:cNvSpPr txBox="1"/>
      </xdr:nvSpPr>
      <xdr:spPr>
        <a:xfrm>
          <a:off x="3052601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6277F7C7-44BA-48D7-A550-DC61E0673A9C}"/>
            </a:ext>
          </a:extLst>
        </xdr:cNvPr>
        <xdr:cNvSpPr txBox="1"/>
      </xdr:nvSpPr>
      <xdr:spPr>
        <a:xfrm>
          <a:off x="3052601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E267271C-4E05-4B7F-9958-C487030C853E}"/>
            </a:ext>
          </a:extLst>
        </xdr:cNvPr>
        <xdr:cNvSpPr txBox="1"/>
      </xdr:nvSpPr>
      <xdr:spPr>
        <a:xfrm>
          <a:off x="3052601" y="439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649883DD-04CE-47D8-AC55-609550B1B439}"/>
            </a:ext>
          </a:extLst>
        </xdr:cNvPr>
        <xdr:cNvSpPr txBox="1"/>
      </xdr:nvSpPr>
      <xdr:spPr>
        <a:xfrm>
          <a:off x="3052601" y="439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06306A5D-BC59-4294-B11D-489BA4119393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5AC28CB5-32C8-4D67-B7B0-735CB189D222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CC5C0587-38FD-4A42-9022-C28E02FD0EC2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22D3ADD5-E733-49BC-80A9-79011235E6C8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0743BF41-9D6C-419D-9B5A-A670921002DB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54BEB9BE-879C-45B9-B6C2-1666AD7AA7E4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3508F6BA-D87F-42C1-8E17-510E6D967638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AB12ED58-21EC-4F28-9C83-9CB152B776A8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AB2E665D-0E8C-42E9-9C5F-B3EC4E1399B9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D8D26B6E-B843-4475-BAD2-586229D7C909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D3C7B05A-E963-4E59-B4D8-13542D731233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B82C59CB-AC76-4268-992F-5A8BEAF3360A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AB0756B6-0EB7-412E-B2D0-6AE091F63E2A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308E02E7-4A63-4ADA-B4AB-897979E49E64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6F78AC69-72C0-4EEF-B7E6-CE413BF2E82C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4FE6A5BD-BA16-4A09-B2E9-6464884C57C7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2A70B9AA-68A3-4BE6-8F45-C48DF20390EF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0D07BAF3-8E9D-4B50-9CAD-2435486998E1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0E5AA600-E351-4CED-9F8B-B5778BC2445A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68C57233-AEAF-43D1-80B9-BEB9F5F0CFB4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C135E95D-9C71-4202-AEC4-1976C797C1DE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BCB0625B-189B-41BA-90AD-33F6677D7662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88170135-FBC7-4533-9531-C3D0A2688D1A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8C6957C5-D7AC-4AF7-9507-4416696E51E4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6BA11865-D6FB-4A63-85D0-FE617BC2FAEA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CC7A6B31-1EA8-497D-B452-1C251D6846CE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6404FFFC-3413-4CB0-BFFC-A209C79574CC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4A490AAD-DD4E-4C0C-BC19-9E3F5E1DAD4C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84A2E528-10F5-4A54-9A55-D77A5770811D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E7D5450C-31F6-44FD-8A65-CB6E4D41DED2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21A1D7EC-4426-4D63-B304-40A97E4DB9DB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20537B2E-F39B-4B44-A294-286B18CD574A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7183B09F-BC5E-4DA9-976D-0F9251CF94B1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A367D10E-0B6B-44F7-A93C-508A61CA8B93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6FDA1DEB-0494-4380-8691-78F570F47FA3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FAEE1BCA-13EC-4067-96F1-8B4A68C0C1A1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99743484-9EA9-493D-B39D-6809D113663F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E14D6C95-0BAB-44E1-9713-D3D795F211A1}"/>
            </a:ext>
          </a:extLst>
        </xdr:cNvPr>
        <xdr:cNvSpPr txBox="1"/>
      </xdr:nvSpPr>
      <xdr:spPr>
        <a:xfrm>
          <a:off x="3052601" y="3609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BAFD1C8F-17C2-4810-9400-62A6CEF1F566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A121FB1B-2FFB-4A12-8A39-A80BA055C731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6AF7FD40-6F13-4794-9BCB-63128599798F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5A76CBE2-501B-47CB-B121-943F5AC087AB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85EFD972-4F55-4686-8238-8F8FEFE8895F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14F2CDA7-A9B6-4885-97F8-2FF5863808EF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8CA9A2CA-C34D-47D5-9E2B-3627EFF7CE6F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F6FF19F6-F353-4595-9CE6-0BE7119233B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ED59BC88-899B-44B0-BA67-05600F2C854B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C4C7620F-B3BC-46F8-B4BD-15E7EC7CD830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7DABB196-339F-4AEF-AAB0-814C642B0CB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91AC526F-4439-4BCC-8868-8C6D78BF23F3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1D7F2CBA-1971-43AD-8591-CAC7F7EBCB8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2512BFAD-125A-46EA-B862-A50A5924902D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FCE7EEAC-38CB-4F78-8281-D62A4F18CB1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C5B35305-C9AC-48B3-BEC8-3EEC912B56F4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AA2568B6-D747-45AF-9F38-5CD2AC57D77C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3E29D74D-1228-4E70-9A95-8962DA99FCE8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6BB05535-6CFF-48F9-8978-73697C5C662F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CC58FB47-4796-413B-AD2B-37C776C8F113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862A2DC5-0C0F-413F-ACC2-B58D85501912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7E0D0772-AFF5-4A7D-B1CE-F520114957C6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612CE4B3-B162-48CE-A20D-3D6CC82EE9D5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EF2E0E86-48C2-4108-861D-FC54C2F1679B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C08F8CBA-306A-4847-88BF-BDB83071A36A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A33BEB48-0D27-4F04-BD09-A5267B336DF8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3B26315C-8502-4A74-967E-E2FACA247903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E15570E9-B356-4C6B-AE9D-09F0CC68794D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BA21E28D-5936-42FC-82DC-109919EB2C45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CB08ACE1-4463-4A85-88A9-6012D232EAF5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87D4CB74-BC88-45B2-A09B-371DDC74AF8C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6767991E-1E1A-4369-8F05-5671EC1CACC3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73C7F24C-40A4-45CC-9378-39296DD27127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32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3E270BEC-9F58-4127-8811-F3DE220E4EB3}"/>
            </a:ext>
          </a:extLst>
        </xdr:cNvPr>
        <xdr:cNvSpPr txBox="1"/>
      </xdr:nvSpPr>
      <xdr:spPr>
        <a:xfrm>
          <a:off x="3052601" y="7562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9DFD8B6D-EEB1-4202-BA19-99BDF4081839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AC65175A-B483-4BF8-A4FB-DEDB8EF0AAB7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F864030E-9D52-4387-B2C3-A5CD88174EEF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8EFEDBCE-CED5-4E73-BED9-4995A7A53C9B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4E2C25A5-D1B2-45B2-9E67-2F7C5C4EC9E8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0C6A0FFF-B04A-46BB-8C6F-16790EE3749F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18AFE296-0690-4A79-AAEC-E7BFBA4DCE33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6DC8E58D-588F-4CE1-8D65-1253A8CCE8B7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BF5E5ADE-75B8-4A50-AD57-BFE464578644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1DB98061-6C8B-4413-BA24-04AD70D2B62C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BDAB3488-11F7-49C4-8D51-93D667E6543A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03DD611F-B61A-43DE-AC83-28C3ECFDDDFE}"/>
            </a:ext>
          </a:extLst>
        </xdr:cNvPr>
        <xdr:cNvSpPr txBox="1"/>
      </xdr:nvSpPr>
      <xdr:spPr>
        <a:xfrm>
          <a:off x="3052601" y="583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14021916-7E30-4E9B-8E8D-EDA45B99A857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C8DC75A7-756C-401A-B735-99E867F9D210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CCCE8DBE-4784-486C-9D2A-5A761292C8CB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25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07C5C0D6-38DC-4DF3-BA58-71F1DCB8D3A9}"/>
            </a:ext>
          </a:extLst>
        </xdr:cNvPr>
        <xdr:cNvSpPr txBox="1"/>
      </xdr:nvSpPr>
      <xdr:spPr>
        <a:xfrm>
          <a:off x="3052601" y="6229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3CAF24D3-9692-4D81-A8F3-0D689F4C98C0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97B155BD-9B5D-44F5-843D-624A8DABEA7E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A7EE236A-9B11-410A-86A0-D36387CF7DE8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21D700AC-ABA9-4F5B-AB0A-0EE09389930C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92378884-476F-47BC-A7F3-6468ECCD6033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837F6DA2-D217-4F24-92D1-0C542971E9D6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74C8EFBA-DAFF-4F67-99A1-24B35A8FDFFF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4045E83E-1D10-4143-BE41-B07B6CF4E164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AC9701E5-FCF1-4E95-91A4-A7AAA0F0AD21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68DB7ABC-3AC6-41E4-B9CC-9D62BD24B254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CC39E17A-0C08-4951-87C1-FE16D56C187D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C6A54A92-437A-4D3B-B375-697FC453B641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870633A9-68D5-4677-84D0-7241D4B648F2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0FAD0D50-ABE7-44C6-ABF9-4FC7B848AC66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03BB8A77-9190-4C5A-AD49-F973DA4766F8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07DE3498-EE76-4694-BFC6-B2A095EC9FE0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BFBA33FB-F378-4CDD-BCCC-A1774355B3B3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5C739FBE-60E8-49EA-9CD2-33062D0444A7}"/>
            </a:ext>
          </a:extLst>
        </xdr:cNvPr>
        <xdr:cNvSpPr txBox="1"/>
      </xdr:nvSpPr>
      <xdr:spPr>
        <a:xfrm>
          <a:off x="3052601" y="641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8EF24E66-1789-45F8-A0B5-A0B93F7E0F75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3F893CBC-BC82-40AD-976F-4B1644253284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B77C5C92-ECF2-421B-84D6-407C8BAE3F0D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1F4D6907-D5CF-4AB9-AC81-B2A95FCE7081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0969C759-8D46-4B3D-BE37-BD5D5B3395E2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6C2FE180-E556-4990-8761-A61CC9F32C45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1038144B-904A-4B95-A704-D841B4AE5543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5CEF86F6-B7D8-4779-B57A-CE7BBCF461D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C4F5FACD-1361-47BB-A23D-453927683172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251B65DE-323F-423A-B029-E8B674E22FBE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3E5F60EA-AE38-4380-A27D-70B17F8B5722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8B516498-FF9C-4BD2-AC8D-17DBA2EF707C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E6569119-434A-46FD-BC91-CEFAC52D8A7B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9AFA7FC9-59FF-485F-89C5-D8FC33624883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27</xdr:row>
      <xdr:rowOff>0</xdr:rowOff>
    </xdr:from>
    <xdr:ext cx="184731" cy="264560"/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14C560E4-88DC-4190-B868-50996C8B3143}"/>
            </a:ext>
          </a:extLst>
        </xdr:cNvPr>
        <xdr:cNvSpPr txBox="1"/>
      </xdr:nvSpPr>
      <xdr:spPr>
        <a:xfrm>
          <a:off x="3052601" y="661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0471E6E7-DD7B-44E1-9E92-6C7588E02B86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0E280398-9F9D-4A3D-ABD7-C785ACFDF609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C18E5973-0160-4A80-A584-FD06D2EC003B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5A1D48BB-21B2-4938-ABA8-3A0EC24A8113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4CAA6878-4C64-4449-BCD9-1BE5BA2ED00D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12A4789C-F9CD-4F4D-98F8-1E53BCE1903F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D85E5FE1-F58F-43B2-89E1-3D6EE840AF97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FB4F1CE0-870E-4B23-A256-9473C2A3C47E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76DD241A-77B5-4C88-AF96-2D6D537BB352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914F8C4E-943A-4241-B8CF-4C0F7ABCABC5}"/>
            </a:ext>
          </a:extLst>
        </xdr:cNvPr>
        <xdr:cNvSpPr txBox="1"/>
      </xdr:nvSpPr>
      <xdr:spPr>
        <a:xfrm>
          <a:off x="3052601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A20E49F3-A28E-4B93-9152-BDB47686E1EF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id="{7364DEA7-88EE-4C21-9540-FB3D0DF0F0E6}"/>
            </a:ext>
          </a:extLst>
        </xdr:cNvPr>
        <xdr:cNvSpPr txBox="1"/>
      </xdr:nvSpPr>
      <xdr:spPr>
        <a:xfrm>
          <a:off x="3052601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09CE9795-53F4-4D85-A042-AF87545B0E20}"/>
            </a:ext>
          </a:extLst>
        </xdr:cNvPr>
        <xdr:cNvSpPr txBox="1"/>
      </xdr:nvSpPr>
      <xdr:spPr>
        <a:xfrm>
          <a:off x="176037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C7751875-9B6C-43BD-83A0-C320C38567A3}"/>
            </a:ext>
          </a:extLst>
        </xdr:cNvPr>
        <xdr:cNvSpPr txBox="1"/>
      </xdr:nvSpPr>
      <xdr:spPr>
        <a:xfrm>
          <a:off x="176037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7E7B170A-D4C6-4205-BAA0-53138B555C5E}"/>
            </a:ext>
          </a:extLst>
        </xdr:cNvPr>
        <xdr:cNvSpPr txBox="1"/>
      </xdr:nvSpPr>
      <xdr:spPr>
        <a:xfrm>
          <a:off x="176037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01CB7EE5-81AE-47C3-9C04-1C56C80B728A}"/>
            </a:ext>
          </a:extLst>
        </xdr:cNvPr>
        <xdr:cNvSpPr txBox="1"/>
      </xdr:nvSpPr>
      <xdr:spPr>
        <a:xfrm>
          <a:off x="176037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0D56CE73-7018-4DEA-A03E-24B2172D1594}"/>
            </a:ext>
          </a:extLst>
        </xdr:cNvPr>
        <xdr:cNvSpPr txBox="1"/>
      </xdr:nvSpPr>
      <xdr:spPr>
        <a:xfrm>
          <a:off x="1760376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"/>
  <sheetViews>
    <sheetView tabSelected="1" zoomScale="70" zoomScaleNormal="70" workbookViewId="0">
      <selection activeCell="O1" sqref="O1"/>
    </sheetView>
  </sheetViews>
  <sheetFormatPr baseColWidth="10" defaultColWidth="9.140625" defaultRowHeight="15" x14ac:dyDescent="0.25"/>
  <cols>
    <col min="1" max="1" width="19.140625" customWidth="1"/>
    <col min="2" max="2" width="33.85546875" customWidth="1"/>
    <col min="3" max="3" width="16.42578125" customWidth="1"/>
    <col min="4" max="4" width="12" customWidth="1"/>
    <col min="5" max="5" width="18" customWidth="1"/>
    <col min="6" max="6" width="37.85546875" customWidth="1"/>
    <col min="7" max="7" width="45" customWidth="1"/>
    <col min="8" max="8" width="21.42578125" customWidth="1"/>
    <col min="9" max="9" width="69.5703125" customWidth="1"/>
    <col min="10" max="10" width="14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25">
      <c r="A2" s="2" t="s">
        <v>29</v>
      </c>
      <c r="B2" s="3" t="s">
        <v>32</v>
      </c>
      <c r="C2" s="3">
        <v>13335</v>
      </c>
      <c r="D2" s="12">
        <v>46113</v>
      </c>
      <c r="E2" s="13" t="s">
        <v>60</v>
      </c>
      <c r="F2" s="18" t="s">
        <v>61</v>
      </c>
      <c r="G2" s="19" t="s">
        <v>27</v>
      </c>
      <c r="H2" s="19" t="str">
        <f>IF(G2="","",VLOOKUP(G2,REFERENCIA!$A$1:$B$14,2,0))</f>
        <v>TIPO E</v>
      </c>
      <c r="I2" s="18" t="s">
        <v>75</v>
      </c>
      <c r="J2" s="18"/>
    </row>
    <row r="3" spans="1:14" x14ac:dyDescent="0.25">
      <c r="A3" s="2" t="s">
        <v>30</v>
      </c>
      <c r="B3" s="3" t="s">
        <v>33</v>
      </c>
      <c r="C3" s="3">
        <v>9271</v>
      </c>
      <c r="D3" s="12">
        <v>46113</v>
      </c>
      <c r="E3" s="13" t="s">
        <v>60</v>
      </c>
      <c r="F3" s="18" t="s">
        <v>62</v>
      </c>
      <c r="G3" s="19" t="s">
        <v>10</v>
      </c>
      <c r="H3" s="19" t="str">
        <f>IF(G3="","",VLOOKUP(G3,REFERENCIA!$A$1:$B$14,2,0))</f>
        <v>TIPO A</v>
      </c>
      <c r="I3" s="18" t="s">
        <v>76</v>
      </c>
      <c r="J3" s="18"/>
    </row>
    <row r="4" spans="1:14" x14ac:dyDescent="0.25">
      <c r="A4" s="2" t="s">
        <v>30</v>
      </c>
      <c r="B4" s="3" t="s">
        <v>32</v>
      </c>
      <c r="C4" s="3">
        <v>13327</v>
      </c>
      <c r="D4" s="12">
        <v>46113</v>
      </c>
      <c r="E4" s="13" t="s">
        <v>60</v>
      </c>
      <c r="F4" s="18" t="s">
        <v>62</v>
      </c>
      <c r="G4" s="19" t="s">
        <v>21</v>
      </c>
      <c r="H4" s="19" t="str">
        <f>IF(G4="","",VLOOKUP(G4,REFERENCIA!$A$1:$B$14,2,0))</f>
        <v>TIPO C</v>
      </c>
      <c r="I4" s="20" t="s">
        <v>77</v>
      </c>
      <c r="J4" s="20">
        <v>3.9</v>
      </c>
    </row>
    <row r="5" spans="1:14" x14ac:dyDescent="0.25">
      <c r="A5" s="2" t="s">
        <v>29</v>
      </c>
      <c r="B5" s="3" t="s">
        <v>34</v>
      </c>
      <c r="C5" s="3">
        <v>246</v>
      </c>
      <c r="D5" s="12">
        <v>46113</v>
      </c>
      <c r="E5" s="13" t="s">
        <v>60</v>
      </c>
      <c r="F5" s="18" t="s">
        <v>63</v>
      </c>
      <c r="G5" s="19" t="s">
        <v>21</v>
      </c>
      <c r="H5" s="19" t="str">
        <f>IF(G5="","",VLOOKUP(G5,REFERENCIA!$A$1:$B$14,2,0))</f>
        <v>TIPO C</v>
      </c>
      <c r="I5" s="20" t="s">
        <v>78</v>
      </c>
      <c r="J5" s="20">
        <v>1.69</v>
      </c>
    </row>
    <row r="6" spans="1:14" x14ac:dyDescent="0.25">
      <c r="A6" s="2" t="s">
        <v>31</v>
      </c>
      <c r="B6" s="3" t="s">
        <v>35</v>
      </c>
      <c r="C6" s="3">
        <v>12706</v>
      </c>
      <c r="D6" s="12">
        <v>46113</v>
      </c>
      <c r="E6" s="13" t="s">
        <v>60</v>
      </c>
      <c r="F6" s="18" t="s">
        <v>64</v>
      </c>
      <c r="G6" s="19" t="s">
        <v>26</v>
      </c>
      <c r="H6" s="19" t="str">
        <f>IF(G6="","",VLOOKUP(G6,REFERENCIA!$A$1:$B$14,2,0))</f>
        <v>TIPO D</v>
      </c>
      <c r="I6" s="20" t="s">
        <v>79</v>
      </c>
      <c r="J6" s="20">
        <v>57.1</v>
      </c>
    </row>
    <row r="7" spans="1:14" ht="30" x14ac:dyDescent="0.25">
      <c r="A7" s="2" t="s">
        <v>29</v>
      </c>
      <c r="B7" s="3" t="s">
        <v>32</v>
      </c>
      <c r="C7" s="3">
        <v>13335</v>
      </c>
      <c r="D7" s="12">
        <v>46113</v>
      </c>
      <c r="E7" s="13" t="s">
        <v>60</v>
      </c>
      <c r="F7" s="18" t="s">
        <v>61</v>
      </c>
      <c r="G7" s="19" t="s">
        <v>23</v>
      </c>
      <c r="H7" s="19" t="str">
        <f>IF(G7="","",VLOOKUP(G7,REFERENCIA!$A$1:$B$14,2,0))</f>
        <v>TIPO C</v>
      </c>
      <c r="I7" s="20" t="s">
        <v>80</v>
      </c>
      <c r="J7" s="20">
        <v>86.86</v>
      </c>
      <c r="M7" t="s">
        <v>93</v>
      </c>
      <c r="N7" t="s">
        <v>94</v>
      </c>
    </row>
    <row r="8" spans="1:14" x14ac:dyDescent="0.25">
      <c r="A8" s="2" t="s">
        <v>30</v>
      </c>
      <c r="B8" s="3" t="s">
        <v>36</v>
      </c>
      <c r="C8" s="3">
        <v>2966</v>
      </c>
      <c r="D8" s="12">
        <v>46114</v>
      </c>
      <c r="E8" s="13" t="s">
        <v>60</v>
      </c>
      <c r="F8" s="18" t="s">
        <v>65</v>
      </c>
      <c r="G8" s="19" t="s">
        <v>26</v>
      </c>
      <c r="H8" s="19" t="str">
        <f>IF(G8="","",VLOOKUP(G8,REFERENCIA!$A$1:$B$14,2,0))</f>
        <v>TIPO D</v>
      </c>
      <c r="I8" s="28" t="s">
        <v>81</v>
      </c>
      <c r="J8" s="28">
        <v>4.3499999999999996</v>
      </c>
      <c r="M8" t="s">
        <v>95</v>
      </c>
      <c r="N8" t="s">
        <v>96</v>
      </c>
    </row>
    <row r="9" spans="1:14" x14ac:dyDescent="0.25">
      <c r="A9" s="2" t="s">
        <v>30</v>
      </c>
      <c r="B9" s="3" t="s">
        <v>37</v>
      </c>
      <c r="C9" s="3">
        <v>345</v>
      </c>
      <c r="D9" s="12">
        <v>46114</v>
      </c>
      <c r="E9" s="13" t="s">
        <v>60</v>
      </c>
      <c r="F9" s="18" t="s">
        <v>66</v>
      </c>
      <c r="G9" s="19" t="s">
        <v>23</v>
      </c>
      <c r="H9" s="19" t="str">
        <f>IF(G9="","",VLOOKUP(G9,REFERENCIA!$A$1:$B$14,2,0))</f>
        <v>TIPO C</v>
      </c>
      <c r="I9" s="20" t="s">
        <v>82</v>
      </c>
      <c r="J9" s="20">
        <v>167.04</v>
      </c>
    </row>
    <row r="10" spans="1:14" x14ac:dyDescent="0.25">
      <c r="A10" s="3" t="s">
        <v>29</v>
      </c>
      <c r="B10" s="3" t="s">
        <v>38</v>
      </c>
      <c r="C10" s="3">
        <v>222162</v>
      </c>
      <c r="D10" s="8">
        <v>46115</v>
      </c>
      <c r="E10" s="9" t="s">
        <v>60</v>
      </c>
      <c r="F10" s="3" t="s">
        <v>61</v>
      </c>
      <c r="G10" s="19" t="s">
        <v>27</v>
      </c>
      <c r="H10" s="19" t="str">
        <f>IF(G10="","",VLOOKUP(G10,REFERENCIA!$A$1:$B$14,2,0))</f>
        <v>TIPO E</v>
      </c>
      <c r="I10" s="3" t="s">
        <v>75</v>
      </c>
      <c r="J10" s="18"/>
    </row>
    <row r="11" spans="1:14" x14ac:dyDescent="0.25">
      <c r="A11" s="3" t="s">
        <v>29</v>
      </c>
      <c r="B11" s="3" t="s">
        <v>39</v>
      </c>
      <c r="C11" s="3">
        <v>871</v>
      </c>
      <c r="D11" s="8">
        <v>46115</v>
      </c>
      <c r="E11" s="9" t="s">
        <v>60</v>
      </c>
      <c r="F11" s="3" t="s">
        <v>61</v>
      </c>
      <c r="G11" s="19" t="s">
        <v>27</v>
      </c>
      <c r="H11" s="19" t="str">
        <f>IF(G11="","",VLOOKUP(G11,REFERENCIA!$A$1:$B$14,2,0))</f>
        <v>TIPO E</v>
      </c>
      <c r="I11" s="3" t="s">
        <v>75</v>
      </c>
      <c r="J11" s="18"/>
    </row>
    <row r="12" spans="1:14" x14ac:dyDescent="0.25">
      <c r="A12" s="3" t="s">
        <v>29</v>
      </c>
      <c r="B12" s="3" t="s">
        <v>40</v>
      </c>
      <c r="C12" s="4">
        <v>30426</v>
      </c>
      <c r="D12" s="8">
        <v>46115</v>
      </c>
      <c r="E12" s="9" t="s">
        <v>60</v>
      </c>
      <c r="F12" s="3" t="s">
        <v>67</v>
      </c>
      <c r="G12" s="19" t="s">
        <v>27</v>
      </c>
      <c r="H12" s="19" t="str">
        <f>IF(G12="","",VLOOKUP(G12,REFERENCIA!$A$1:$B$14,2,0))</f>
        <v>TIPO E</v>
      </c>
      <c r="I12" s="3" t="s">
        <v>75</v>
      </c>
      <c r="J12" s="18"/>
    </row>
    <row r="13" spans="1:14" x14ac:dyDescent="0.25">
      <c r="A13" s="2" t="s">
        <v>29</v>
      </c>
      <c r="B13" s="3" t="s">
        <v>41</v>
      </c>
      <c r="C13" s="3">
        <v>6067</v>
      </c>
      <c r="D13" s="12">
        <v>46115</v>
      </c>
      <c r="E13" s="13" t="s">
        <v>60</v>
      </c>
      <c r="F13" s="18" t="s">
        <v>61</v>
      </c>
      <c r="G13" s="19" t="s">
        <v>27</v>
      </c>
      <c r="H13" s="19" t="str">
        <f>IF(G13="","",VLOOKUP(G13,REFERENCIA!$A$1:$B$14,2,0))</f>
        <v>TIPO E</v>
      </c>
      <c r="I13" s="18" t="s">
        <v>75</v>
      </c>
      <c r="J13" s="18"/>
    </row>
    <row r="14" spans="1:14" x14ac:dyDescent="0.25">
      <c r="A14" s="2" t="s">
        <v>29</v>
      </c>
      <c r="B14" s="3" t="s">
        <v>41</v>
      </c>
      <c r="C14" s="3">
        <v>6040</v>
      </c>
      <c r="D14" s="12">
        <v>46115</v>
      </c>
      <c r="E14" s="13" t="s">
        <v>60</v>
      </c>
      <c r="F14" s="18" t="s">
        <v>61</v>
      </c>
      <c r="G14" s="19" t="s">
        <v>27</v>
      </c>
      <c r="H14" s="19" t="str">
        <f>IF(G14="","",VLOOKUP(G14,REFERENCIA!$A$1:$B$14,2,0))</f>
        <v>TIPO E</v>
      </c>
      <c r="I14" s="18" t="s">
        <v>75</v>
      </c>
      <c r="J14" s="18"/>
    </row>
    <row r="15" spans="1:14" x14ac:dyDescent="0.25">
      <c r="A15" s="2" t="s">
        <v>29</v>
      </c>
      <c r="B15" s="3" t="s">
        <v>41</v>
      </c>
      <c r="C15" s="3">
        <v>6040</v>
      </c>
      <c r="D15" s="12">
        <v>46115</v>
      </c>
      <c r="E15" s="13" t="s">
        <v>60</v>
      </c>
      <c r="F15" s="18" t="s">
        <v>61</v>
      </c>
      <c r="G15" s="19" t="s">
        <v>16</v>
      </c>
      <c r="H15" s="19"/>
      <c r="I15" s="18" t="s">
        <v>83</v>
      </c>
      <c r="J15" s="18"/>
    </row>
    <row r="16" spans="1:14" x14ac:dyDescent="0.25">
      <c r="A16" s="3" t="s">
        <v>31</v>
      </c>
      <c r="B16" s="4" t="s">
        <v>42</v>
      </c>
      <c r="C16" s="4">
        <v>36561</v>
      </c>
      <c r="D16" s="8">
        <v>46120</v>
      </c>
      <c r="E16" s="9" t="s">
        <v>60</v>
      </c>
      <c r="F16" s="3" t="s">
        <v>68</v>
      </c>
      <c r="G16" s="19" t="s">
        <v>16</v>
      </c>
      <c r="H16" s="19" t="str">
        <f>IF(G16="","",VLOOKUP(G16,REFERENCIA!$A$1:$B$14,2,0))</f>
        <v>TIPO B</v>
      </c>
      <c r="I16" s="3" t="s">
        <v>83</v>
      </c>
      <c r="J16" s="18"/>
    </row>
    <row r="17" spans="1:10" ht="25.5" x14ac:dyDescent="0.25">
      <c r="A17" s="3" t="s">
        <v>31</v>
      </c>
      <c r="B17" s="4" t="s">
        <v>43</v>
      </c>
      <c r="C17" s="4">
        <v>2646</v>
      </c>
      <c r="D17" s="8">
        <v>46120</v>
      </c>
      <c r="E17" s="9" t="s">
        <v>60</v>
      </c>
      <c r="F17" s="3" t="s">
        <v>68</v>
      </c>
      <c r="G17" s="19" t="s">
        <v>16</v>
      </c>
      <c r="H17" s="19" t="str">
        <f>IF(G17="","",VLOOKUP(G17,REFERENCIA!$A$1:$B$14,2,0))</f>
        <v>TIPO B</v>
      </c>
      <c r="I17" s="3" t="s">
        <v>83</v>
      </c>
      <c r="J17" s="18"/>
    </row>
    <row r="18" spans="1:10" x14ac:dyDescent="0.25">
      <c r="A18" s="3" t="s">
        <v>31</v>
      </c>
      <c r="B18" s="3" t="s">
        <v>44</v>
      </c>
      <c r="C18" s="3">
        <v>8031304345</v>
      </c>
      <c r="D18" s="8">
        <v>46120</v>
      </c>
      <c r="E18" s="9" t="s">
        <v>60</v>
      </c>
      <c r="F18" s="3" t="s">
        <v>69</v>
      </c>
      <c r="G18" s="19" t="s">
        <v>16</v>
      </c>
      <c r="H18" s="19" t="str">
        <f>IF(G18="","",VLOOKUP(G18,REFERENCIA!$A$1:$B$14,2,0))</f>
        <v>TIPO B</v>
      </c>
      <c r="I18" s="3" t="s">
        <v>83</v>
      </c>
      <c r="J18" s="18"/>
    </row>
    <row r="19" spans="1:10" x14ac:dyDescent="0.25">
      <c r="A19" s="3" t="s">
        <v>31</v>
      </c>
      <c r="B19" s="3" t="s">
        <v>45</v>
      </c>
      <c r="C19" s="3">
        <v>3000011999</v>
      </c>
      <c r="D19" s="8">
        <v>46120</v>
      </c>
      <c r="E19" s="9" t="s">
        <v>60</v>
      </c>
      <c r="F19" s="3" t="s">
        <v>70</v>
      </c>
      <c r="G19" s="19" t="s">
        <v>16</v>
      </c>
      <c r="H19" s="19" t="str">
        <f>IF(G19="","",VLOOKUP(G19,REFERENCIA!$A$1:$B$14,2,0))</f>
        <v>TIPO B</v>
      </c>
      <c r="I19" s="3" t="s">
        <v>83</v>
      </c>
      <c r="J19" s="18"/>
    </row>
    <row r="20" spans="1:10" x14ac:dyDescent="0.25">
      <c r="A20" s="14" t="s">
        <v>31</v>
      </c>
      <c r="B20" s="21" t="s">
        <v>45</v>
      </c>
      <c r="C20" s="15" t="s">
        <v>55</v>
      </c>
      <c r="D20" s="22">
        <v>46120</v>
      </c>
      <c r="E20" s="23" t="s">
        <v>60</v>
      </c>
      <c r="F20" s="24" t="s">
        <v>70</v>
      </c>
      <c r="G20" s="19" t="s">
        <v>16</v>
      </c>
      <c r="H20" s="19" t="str">
        <f>IF(G20="","",VLOOKUP(G20,REFERENCIA!$A$1:$B$14,2,0))</f>
        <v>TIPO B</v>
      </c>
      <c r="I20" s="10" t="s">
        <v>83</v>
      </c>
      <c r="J20" s="10"/>
    </row>
    <row r="21" spans="1:10" x14ac:dyDescent="0.25">
      <c r="A21" s="14" t="s">
        <v>31</v>
      </c>
      <c r="B21" s="21" t="s">
        <v>46</v>
      </c>
      <c r="C21" s="15" t="s">
        <v>56</v>
      </c>
      <c r="D21" s="22">
        <v>46120</v>
      </c>
      <c r="E21" s="23" t="s">
        <v>60</v>
      </c>
      <c r="F21" s="24" t="s">
        <v>71</v>
      </c>
      <c r="G21" s="19" t="s">
        <v>16</v>
      </c>
      <c r="H21" s="19" t="str">
        <f>IF(G21="","",VLOOKUP(G21,REFERENCIA!$A$1:$B$14,2,0))</f>
        <v>TIPO B</v>
      </c>
      <c r="I21" s="10" t="s">
        <v>83</v>
      </c>
      <c r="J21" s="10"/>
    </row>
    <row r="22" spans="1:10" x14ac:dyDescent="0.25">
      <c r="A22" s="14" t="s">
        <v>31</v>
      </c>
      <c r="B22" s="21" t="s">
        <v>45</v>
      </c>
      <c r="C22" s="15" t="s">
        <v>57</v>
      </c>
      <c r="D22" s="22">
        <v>46120</v>
      </c>
      <c r="E22" s="23" t="s">
        <v>60</v>
      </c>
      <c r="F22" s="24" t="s">
        <v>70</v>
      </c>
      <c r="G22" s="19" t="s">
        <v>16</v>
      </c>
      <c r="H22" s="19" t="str">
        <f>IF(G22="","",VLOOKUP(G22,REFERENCIA!$A$1:$B$14,2,0))</f>
        <v>TIPO B</v>
      </c>
      <c r="I22" s="10" t="s">
        <v>83</v>
      </c>
      <c r="J22" s="10"/>
    </row>
    <row r="23" spans="1:10" x14ac:dyDescent="0.25">
      <c r="A23" s="3" t="s">
        <v>31</v>
      </c>
      <c r="B23" s="3" t="s">
        <v>47</v>
      </c>
      <c r="C23" s="4">
        <v>50985</v>
      </c>
      <c r="D23" s="8">
        <v>46120</v>
      </c>
      <c r="E23" s="9" t="s">
        <v>60</v>
      </c>
      <c r="F23" s="3" t="s">
        <v>70</v>
      </c>
      <c r="G23" s="19" t="s">
        <v>16</v>
      </c>
      <c r="H23" s="19" t="str">
        <f>IF(G23="","",VLOOKUP(G23,REFERENCIA!$A$1:$B$14,2,0))</f>
        <v>TIPO B</v>
      </c>
      <c r="I23" s="3" t="s">
        <v>83</v>
      </c>
      <c r="J23" s="18"/>
    </row>
    <row r="24" spans="1:10" x14ac:dyDescent="0.25">
      <c r="A24" s="3" t="s">
        <v>31</v>
      </c>
      <c r="B24" s="3" t="s">
        <v>45</v>
      </c>
      <c r="C24" s="3">
        <v>4747</v>
      </c>
      <c r="D24" s="8">
        <v>46120</v>
      </c>
      <c r="E24" s="9" t="s">
        <v>60</v>
      </c>
      <c r="F24" s="3" t="s">
        <v>70</v>
      </c>
      <c r="G24" s="19" t="s">
        <v>16</v>
      </c>
      <c r="H24" s="19" t="str">
        <f>IF(G24="","",VLOOKUP(G24,REFERENCIA!$A$1:$B$14,2,0))</f>
        <v>TIPO B</v>
      </c>
      <c r="I24" s="3" t="s">
        <v>83</v>
      </c>
      <c r="J24" s="18"/>
    </row>
    <row r="25" spans="1:10" x14ac:dyDescent="0.25">
      <c r="A25" s="3" t="s">
        <v>30</v>
      </c>
      <c r="B25" s="3" t="s">
        <v>34</v>
      </c>
      <c r="C25" s="3">
        <v>320</v>
      </c>
      <c r="D25" s="8">
        <v>46121</v>
      </c>
      <c r="E25" s="9" t="s">
        <v>60</v>
      </c>
      <c r="F25" s="3" t="s">
        <v>65</v>
      </c>
      <c r="G25" s="19" t="s">
        <v>27</v>
      </c>
      <c r="H25" s="19" t="str">
        <f>IF(G25="","",VLOOKUP(G25,REFERENCIA!$A$1:$B$14,2,0))</f>
        <v>TIPO E</v>
      </c>
      <c r="I25" s="25" t="s">
        <v>84</v>
      </c>
      <c r="J25" s="26">
        <v>1913.1</v>
      </c>
    </row>
    <row r="26" spans="1:10" x14ac:dyDescent="0.25">
      <c r="A26" s="3" t="s">
        <v>30</v>
      </c>
      <c r="B26" s="3" t="s">
        <v>36</v>
      </c>
      <c r="C26" s="3">
        <v>2958</v>
      </c>
      <c r="D26" s="8">
        <v>46125</v>
      </c>
      <c r="E26" s="9" t="s">
        <v>60</v>
      </c>
      <c r="F26" s="3" t="s">
        <v>62</v>
      </c>
      <c r="G26" s="19" t="s">
        <v>17</v>
      </c>
      <c r="H26" s="19" t="str">
        <f>IF(G26="","",VLOOKUP(G26,REFERENCIA!$A$1:$B$14,2,0))</f>
        <v>TIPO B</v>
      </c>
      <c r="I26" s="16" t="s">
        <v>85</v>
      </c>
      <c r="J26" s="11"/>
    </row>
    <row r="27" spans="1:10" x14ac:dyDescent="0.25">
      <c r="A27" s="3" t="s">
        <v>29</v>
      </c>
      <c r="B27" s="3" t="s">
        <v>44</v>
      </c>
      <c r="C27" s="3">
        <v>8031306009</v>
      </c>
      <c r="D27" s="8">
        <v>46127</v>
      </c>
      <c r="E27" s="9" t="s">
        <v>60</v>
      </c>
      <c r="F27" s="3" t="s">
        <v>63</v>
      </c>
      <c r="G27" s="19" t="s">
        <v>27</v>
      </c>
      <c r="H27" s="19" t="str">
        <f>IF(G27="","",VLOOKUP(G27,REFERENCIA!$A$1:$B$14,2,0))</f>
        <v>TIPO E</v>
      </c>
      <c r="I27" s="3" t="s">
        <v>75</v>
      </c>
      <c r="J27" s="18"/>
    </row>
    <row r="28" spans="1:10" x14ac:dyDescent="0.25">
      <c r="A28" s="3" t="s">
        <v>29</v>
      </c>
      <c r="B28" s="3" t="s">
        <v>44</v>
      </c>
      <c r="C28" s="3">
        <v>8031306005</v>
      </c>
      <c r="D28" s="8">
        <v>46127</v>
      </c>
      <c r="E28" s="9" t="s">
        <v>60</v>
      </c>
      <c r="F28" s="3" t="s">
        <v>63</v>
      </c>
      <c r="G28" s="19" t="s">
        <v>27</v>
      </c>
      <c r="H28" s="19" t="str">
        <f>IF(G28="","",VLOOKUP(G28,REFERENCIA!$A$1:$B$14,2,0))</f>
        <v>TIPO E</v>
      </c>
      <c r="I28" s="3" t="s">
        <v>75</v>
      </c>
      <c r="J28" s="18"/>
    </row>
    <row r="29" spans="1:10" x14ac:dyDescent="0.25">
      <c r="A29" s="3" t="s">
        <v>29</v>
      </c>
      <c r="B29" s="6" t="s">
        <v>44</v>
      </c>
      <c r="C29" s="7">
        <v>8031306007</v>
      </c>
      <c r="D29" s="8">
        <v>46127</v>
      </c>
      <c r="E29" s="9" t="s">
        <v>60</v>
      </c>
      <c r="F29" s="3" t="s">
        <v>63</v>
      </c>
      <c r="G29" s="19" t="s">
        <v>27</v>
      </c>
      <c r="H29" s="19" t="str">
        <f>IF(G29="","",VLOOKUP(G29,REFERENCIA!$A$1:$B$14,2,0))</f>
        <v>TIPO E</v>
      </c>
      <c r="I29" s="7" t="s">
        <v>75</v>
      </c>
      <c r="J29" s="11"/>
    </row>
    <row r="30" spans="1:10" x14ac:dyDescent="0.25">
      <c r="A30" s="3" t="s">
        <v>29</v>
      </c>
      <c r="B30" s="6" t="s">
        <v>44</v>
      </c>
      <c r="C30" s="7">
        <v>8031306008</v>
      </c>
      <c r="D30" s="8">
        <v>46127</v>
      </c>
      <c r="E30" s="9" t="s">
        <v>60</v>
      </c>
      <c r="F30" s="3" t="s">
        <v>63</v>
      </c>
      <c r="G30" s="19" t="s">
        <v>27</v>
      </c>
      <c r="H30" s="19" t="str">
        <f>IF(G30="","",VLOOKUP(G30,REFERENCIA!$A$1:$B$14,2,0))</f>
        <v>TIPO E</v>
      </c>
      <c r="I30" s="7" t="s">
        <v>75</v>
      </c>
      <c r="J30" s="11"/>
    </row>
    <row r="31" spans="1:10" x14ac:dyDescent="0.25">
      <c r="A31" s="3" t="s">
        <v>29</v>
      </c>
      <c r="B31" s="6" t="s">
        <v>44</v>
      </c>
      <c r="C31" s="7">
        <v>8031306006</v>
      </c>
      <c r="D31" s="8">
        <v>46127</v>
      </c>
      <c r="E31" s="9" t="s">
        <v>60</v>
      </c>
      <c r="F31" s="3" t="s">
        <v>63</v>
      </c>
      <c r="G31" s="19" t="s">
        <v>27</v>
      </c>
      <c r="H31" s="19" t="str">
        <f>IF(G31="","",VLOOKUP(G31,REFERENCIA!$A$1:$B$14,2,0))</f>
        <v>TIPO E</v>
      </c>
      <c r="I31" s="7" t="s">
        <v>75</v>
      </c>
      <c r="J31" s="11"/>
    </row>
    <row r="32" spans="1:10" x14ac:dyDescent="0.25">
      <c r="A32" s="3" t="s">
        <v>30</v>
      </c>
      <c r="B32" s="6" t="s">
        <v>48</v>
      </c>
      <c r="C32" s="7" t="s">
        <v>58</v>
      </c>
      <c r="D32" s="8">
        <v>46127</v>
      </c>
      <c r="E32" s="9" t="s">
        <v>60</v>
      </c>
      <c r="F32" s="3" t="s">
        <v>72</v>
      </c>
      <c r="G32" s="19" t="s">
        <v>10</v>
      </c>
      <c r="H32" s="19" t="str">
        <f>IF(G32="","",VLOOKUP(G32,REFERENCIA!$A$1:$B$14,2,0))</f>
        <v>TIPO A</v>
      </c>
      <c r="I32" s="17" t="s">
        <v>76</v>
      </c>
      <c r="J32" s="11"/>
    </row>
    <row r="33" spans="1:10" ht="25.5" x14ac:dyDescent="0.25">
      <c r="A33" s="3" t="s">
        <v>31</v>
      </c>
      <c r="B33" s="4" t="s">
        <v>49</v>
      </c>
      <c r="C33" s="4">
        <v>18352</v>
      </c>
      <c r="D33" s="8">
        <v>46128</v>
      </c>
      <c r="E33" s="9" t="s">
        <v>60</v>
      </c>
      <c r="F33" s="3" t="s">
        <v>73</v>
      </c>
      <c r="G33" s="19" t="s">
        <v>10</v>
      </c>
      <c r="H33" s="19" t="str">
        <f>IF(G33="","",VLOOKUP(G33,REFERENCIA!$A$1:$B$14,2,0))</f>
        <v>TIPO A</v>
      </c>
      <c r="I33" s="3" t="s">
        <v>76</v>
      </c>
      <c r="J33" s="18"/>
    </row>
    <row r="34" spans="1:10" x14ac:dyDescent="0.25">
      <c r="A34" s="3" t="s">
        <v>30</v>
      </c>
      <c r="B34" s="4" t="s">
        <v>50</v>
      </c>
      <c r="C34" s="4">
        <v>125346</v>
      </c>
      <c r="D34" s="8">
        <v>46132</v>
      </c>
      <c r="E34" s="9" t="s">
        <v>60</v>
      </c>
      <c r="F34" s="3" t="s">
        <v>62</v>
      </c>
      <c r="G34" s="19" t="s">
        <v>10</v>
      </c>
      <c r="H34" s="19" t="str">
        <f>IF(G34="","",VLOOKUP(G34,REFERENCIA!$A$1:$B$14,2,0))</f>
        <v>TIPO A</v>
      </c>
      <c r="I34" s="3" t="s">
        <v>76</v>
      </c>
      <c r="J34" s="18"/>
    </row>
    <row r="35" spans="1:10" x14ac:dyDescent="0.25">
      <c r="A35" s="3" t="s">
        <v>30</v>
      </c>
      <c r="B35" s="5" t="s">
        <v>51</v>
      </c>
      <c r="C35" s="5">
        <v>6067</v>
      </c>
      <c r="D35" s="8">
        <v>46132</v>
      </c>
      <c r="E35" s="9" t="s">
        <v>60</v>
      </c>
      <c r="F35" s="3" t="s">
        <v>62</v>
      </c>
      <c r="G35" s="19" t="s">
        <v>10</v>
      </c>
      <c r="H35" s="19" t="str">
        <f>IF(G35="","",VLOOKUP(G35,REFERENCIA!$A$1:$B$14,2,0))</f>
        <v>TIPO A</v>
      </c>
      <c r="I35" s="3" t="s">
        <v>76</v>
      </c>
      <c r="J35" s="18"/>
    </row>
    <row r="36" spans="1:10" x14ac:dyDescent="0.25">
      <c r="A36" s="3" t="s">
        <v>31</v>
      </c>
      <c r="B36" s="5" t="s">
        <v>52</v>
      </c>
      <c r="C36" s="5">
        <v>23975</v>
      </c>
      <c r="D36" s="8">
        <v>46133</v>
      </c>
      <c r="E36" s="9" t="s">
        <v>60</v>
      </c>
      <c r="F36" s="3" t="s">
        <v>71</v>
      </c>
      <c r="G36" s="19" t="s">
        <v>26</v>
      </c>
      <c r="H36" s="19" t="str">
        <f>IF(G36="","",VLOOKUP(G36,REFERENCIA!$A$1:$B$14,2,0))</f>
        <v>TIPO D</v>
      </c>
      <c r="I36" s="29" t="s">
        <v>86</v>
      </c>
      <c r="J36" s="28">
        <v>15.03</v>
      </c>
    </row>
    <row r="37" spans="1:10" x14ac:dyDescent="0.25">
      <c r="A37" s="3" t="s">
        <v>29</v>
      </c>
      <c r="B37" s="5" t="s">
        <v>34</v>
      </c>
      <c r="C37" s="5">
        <v>529</v>
      </c>
      <c r="D37" s="8">
        <v>46134</v>
      </c>
      <c r="E37" s="9" t="s">
        <v>60</v>
      </c>
      <c r="F37" s="3" t="s">
        <v>63</v>
      </c>
      <c r="G37" s="19" t="s">
        <v>26</v>
      </c>
      <c r="H37" s="19" t="str">
        <f>IF(G37="","",VLOOKUP(G37,REFERENCIA!$A$1:$B$14,2,0))</f>
        <v>TIPO D</v>
      </c>
      <c r="I37" s="29" t="s">
        <v>87</v>
      </c>
      <c r="J37" s="28">
        <v>13</v>
      </c>
    </row>
    <row r="38" spans="1:10" x14ac:dyDescent="0.25">
      <c r="A38" s="3" t="s">
        <v>29</v>
      </c>
      <c r="B38" s="5" t="s">
        <v>53</v>
      </c>
      <c r="C38" s="5">
        <v>804</v>
      </c>
      <c r="D38" s="8" t="s">
        <v>59</v>
      </c>
      <c r="E38" s="9" t="s">
        <v>60</v>
      </c>
      <c r="F38" s="3" t="s">
        <v>63</v>
      </c>
      <c r="G38" s="19" t="s">
        <v>26</v>
      </c>
      <c r="H38" s="19" t="str">
        <f>IF(G38="","",VLOOKUP(G38,REFERENCIA!$A$1:$B$14,2,0))</f>
        <v>TIPO D</v>
      </c>
      <c r="I38" s="29" t="s">
        <v>88</v>
      </c>
      <c r="J38" s="28">
        <v>8.89</v>
      </c>
    </row>
    <row r="39" spans="1:10" x14ac:dyDescent="0.25">
      <c r="A39" s="3" t="s">
        <v>30</v>
      </c>
      <c r="B39" s="5" t="s">
        <v>34</v>
      </c>
      <c r="C39" s="5">
        <v>773</v>
      </c>
      <c r="D39" s="8">
        <v>46135</v>
      </c>
      <c r="E39" s="9" t="s">
        <v>60</v>
      </c>
      <c r="F39" s="3" t="s">
        <v>74</v>
      </c>
      <c r="G39" s="19" t="s">
        <v>27</v>
      </c>
      <c r="H39" s="19" t="str">
        <f>IF(G39="","",VLOOKUP(G39,REFERENCIA!$A$1:$B$14,2,0))</f>
        <v>TIPO E</v>
      </c>
      <c r="I39" s="3" t="s">
        <v>75</v>
      </c>
      <c r="J39" s="18"/>
    </row>
    <row r="40" spans="1:10" x14ac:dyDescent="0.25">
      <c r="A40" s="3" t="s">
        <v>30</v>
      </c>
      <c r="B40" s="5" t="s">
        <v>54</v>
      </c>
      <c r="C40" s="5">
        <v>773</v>
      </c>
      <c r="D40" s="8">
        <v>46135</v>
      </c>
      <c r="E40" s="9" t="s">
        <v>60</v>
      </c>
      <c r="F40" s="3" t="s">
        <v>74</v>
      </c>
      <c r="G40" s="19" t="s">
        <v>26</v>
      </c>
      <c r="H40" s="19" t="str">
        <f>IF(G40="","",VLOOKUP(G40,REFERENCIA!$A$1:$B$14,2,0))</f>
        <v>TIPO D</v>
      </c>
      <c r="I40" s="29" t="s">
        <v>89</v>
      </c>
      <c r="J40" s="28">
        <v>1.89</v>
      </c>
    </row>
    <row r="41" spans="1:10" x14ac:dyDescent="0.25">
      <c r="A41" s="3" t="s">
        <v>31</v>
      </c>
      <c r="B41" s="3" t="s">
        <v>34</v>
      </c>
      <c r="C41" s="3">
        <v>339</v>
      </c>
      <c r="D41" s="8">
        <v>46135</v>
      </c>
      <c r="E41" s="9" t="s">
        <v>60</v>
      </c>
      <c r="F41" s="3" t="s">
        <v>68</v>
      </c>
      <c r="G41" s="19" t="s">
        <v>16</v>
      </c>
      <c r="H41" s="19" t="str">
        <f>IF(G41="","",VLOOKUP(G41,REFERENCIA!$A$1:$B$14,2,0))</f>
        <v>TIPO B</v>
      </c>
      <c r="I41" s="3" t="s">
        <v>83</v>
      </c>
      <c r="J41" s="18"/>
    </row>
    <row r="42" spans="1:10" x14ac:dyDescent="0.25">
      <c r="A42" s="3" t="s">
        <v>31</v>
      </c>
      <c r="B42" s="3" t="s">
        <v>34</v>
      </c>
      <c r="C42" s="3">
        <v>339</v>
      </c>
      <c r="D42" s="8">
        <v>46135</v>
      </c>
      <c r="E42" s="9" t="s">
        <v>60</v>
      </c>
      <c r="F42" s="3" t="s">
        <v>68</v>
      </c>
      <c r="G42" s="19" t="s">
        <v>13</v>
      </c>
      <c r="H42" s="19" t="str">
        <f>IF(G42="","",VLOOKUP(G42,REFERENCIA!$A$1:$B$14,2,0))</f>
        <v>TIPO A</v>
      </c>
      <c r="I42" s="3" t="s">
        <v>13</v>
      </c>
      <c r="J42" s="19"/>
    </row>
    <row r="43" spans="1:10" x14ac:dyDescent="0.25">
      <c r="A43" s="19" t="s">
        <v>30</v>
      </c>
      <c r="B43" s="19" t="s">
        <v>90</v>
      </c>
      <c r="C43" s="19">
        <v>27822</v>
      </c>
      <c r="D43" s="27">
        <v>46136</v>
      </c>
      <c r="E43" s="19" t="s">
        <v>60</v>
      </c>
      <c r="F43" s="19" t="s">
        <v>62</v>
      </c>
      <c r="G43" s="19" t="s">
        <v>26</v>
      </c>
      <c r="H43" s="19" t="str">
        <f>IF(G43="","",VLOOKUP(G43,REFERENCIA!$A$1:$B$14,2,0))</f>
        <v>TIPO D</v>
      </c>
      <c r="I43" s="30" t="s">
        <v>91</v>
      </c>
      <c r="J43" s="30">
        <v>1.23</v>
      </c>
    </row>
    <row r="44" spans="1:10" x14ac:dyDescent="0.25">
      <c r="A44" s="19" t="s">
        <v>31</v>
      </c>
      <c r="B44" s="19" t="s">
        <v>32</v>
      </c>
      <c r="C44" s="19">
        <v>13503</v>
      </c>
      <c r="D44" s="27">
        <v>46136</v>
      </c>
      <c r="E44" s="19" t="s">
        <v>60</v>
      </c>
      <c r="F44" s="19" t="s">
        <v>70</v>
      </c>
      <c r="G44" s="19" t="s">
        <v>22</v>
      </c>
      <c r="H44" s="19" t="str">
        <f>IF(G44="","",VLOOKUP(G44,REFERENCIA!$A$1:$B$14,2,0))</f>
        <v>TIPO C</v>
      </c>
      <c r="I44" s="19" t="s">
        <v>92</v>
      </c>
      <c r="J44" s="19"/>
    </row>
    <row r="45" spans="1:10" x14ac:dyDescent="0.25">
      <c r="A45" s="19"/>
      <c r="B45" s="19"/>
      <c r="C45" s="19"/>
      <c r="D45" s="19"/>
      <c r="E45" s="19"/>
      <c r="F45" s="19"/>
      <c r="G45" s="19"/>
      <c r="H45" s="19" t="str">
        <f>IF(G45="","",VLOOKUP(G45,REFERENCIA!$A$1:$B$14,2,0))</f>
        <v/>
      </c>
      <c r="I45" s="19"/>
      <c r="J45" s="19"/>
    </row>
    <row r="46" spans="1:10" x14ac:dyDescent="0.25">
      <c r="A46" s="19"/>
      <c r="B46" s="19"/>
      <c r="C46" s="19"/>
      <c r="D46" s="19"/>
      <c r="E46" s="19"/>
      <c r="F46" s="19"/>
      <c r="G46" s="19"/>
      <c r="H46" s="19" t="str">
        <f>IF(G46="","",VLOOKUP(G46,REFERENCIA!$A$1:$B$14,2,0))</f>
        <v/>
      </c>
      <c r="I46" s="19"/>
      <c r="J46" s="19"/>
    </row>
    <row r="47" spans="1:10" x14ac:dyDescent="0.25">
      <c r="A47" s="19"/>
      <c r="B47" s="19"/>
      <c r="C47" s="19"/>
      <c r="D47" s="19"/>
      <c r="E47" s="19"/>
      <c r="F47" s="19"/>
      <c r="G47" s="19"/>
      <c r="H47" s="19" t="str">
        <f>IF(G47="","",VLOOKUP(G47,REFERENCIA!$A$1:$B$14,2,0))</f>
        <v/>
      </c>
      <c r="I47" s="19"/>
      <c r="J47" s="19"/>
    </row>
    <row r="48" spans="1:10" x14ac:dyDescent="0.25">
      <c r="A48" s="19"/>
      <c r="B48" s="19"/>
      <c r="C48" s="19"/>
      <c r="D48" s="19"/>
      <c r="E48" s="19"/>
      <c r="F48" s="19"/>
      <c r="G48" s="19"/>
      <c r="H48" s="19" t="str">
        <f>IF(G48="","",VLOOKUP(G48,REFERENCIA!$A$1:$B$14,2,0))</f>
        <v/>
      </c>
      <c r="I48" s="19"/>
      <c r="J48" s="19"/>
    </row>
    <row r="49" spans="1:10" x14ac:dyDescent="0.25">
      <c r="A49" s="19"/>
      <c r="B49" s="19"/>
      <c r="C49" s="19"/>
      <c r="D49" s="19"/>
      <c r="E49" s="19"/>
      <c r="F49" s="19"/>
      <c r="G49" s="19"/>
      <c r="H49" s="19" t="str">
        <f>IF(G49="","",VLOOKUP(G49,REFERENCIA!$A$1:$B$14,2,0))</f>
        <v/>
      </c>
      <c r="I49" s="19"/>
      <c r="J49" s="19"/>
    </row>
    <row r="50" spans="1:10" x14ac:dyDescent="0.25">
      <c r="A50" s="19"/>
      <c r="B50" s="19"/>
      <c r="C50" s="19"/>
      <c r="D50" s="19"/>
      <c r="E50" s="19"/>
      <c r="F50" s="19"/>
      <c r="G50" s="19"/>
      <c r="H50" s="19" t="str">
        <f>IF(G50="","",VLOOKUP(G50,REFERENCIA!$A$1:$B$14,2,0))</f>
        <v/>
      </c>
      <c r="I50" s="19"/>
      <c r="J50" s="19">
        <f>SUM(J2:J49)</f>
        <v>2274.08</v>
      </c>
    </row>
    <row r="51" spans="1:10" x14ac:dyDescent="0.25">
      <c r="A51" s="19"/>
      <c r="B51" s="19"/>
      <c r="C51" s="19"/>
      <c r="D51" s="19"/>
      <c r="E51" s="19"/>
      <c r="F51" s="19"/>
      <c r="G51" s="19"/>
      <c r="H51" s="19" t="str">
        <f>IF(G51="","",VLOOKUP(G51,REFERENCIA!$A$1:$B$14,2,0))</f>
        <v/>
      </c>
      <c r="I51" s="19"/>
      <c r="J51" s="19"/>
    </row>
    <row r="52" spans="1:10" x14ac:dyDescent="0.25">
      <c r="H52" t="str">
        <f>IF(G52="","",VLOOKUP(G52,REFERENCIA!$A$1:$B$14,2,0))</f>
        <v/>
      </c>
    </row>
    <row r="53" spans="1:10" x14ac:dyDescent="0.25">
      <c r="H53" t="str">
        <f>IF(G53="","",VLOOKUP(G53,REFERENCIA!$A$1:$B$14,2,0))</f>
        <v/>
      </c>
    </row>
    <row r="54" spans="1:10" x14ac:dyDescent="0.25">
      <c r="H54" t="str">
        <f>IF(G54="","",VLOOKUP(G54,REFERENCIA!$A$1:$B$14,2,0))</f>
        <v/>
      </c>
    </row>
    <row r="55" spans="1:10" x14ac:dyDescent="0.25">
      <c r="H55" t="str">
        <f>IF(G55="","",VLOOKUP(G55,REFERENCIA!$A$1:$B$14,2,0))</f>
        <v/>
      </c>
    </row>
    <row r="56" spans="1:10" x14ac:dyDescent="0.25">
      <c r="H56" t="str">
        <f>IF(G56="","",VLOOKUP(G56,REFERENCIA!$A$1:$B$14,2,0))</f>
        <v/>
      </c>
    </row>
    <row r="57" spans="1:10" x14ac:dyDescent="0.25">
      <c r="H57" t="str">
        <f>IF(G57="","",VLOOKUP(G57,REFERENCIA!$A$1:$B$14,2,0))</f>
        <v/>
      </c>
    </row>
    <row r="58" spans="1:10" x14ac:dyDescent="0.25">
      <c r="H58" t="str">
        <f>IF(G58="","",VLOOKUP(G58,REFERENCIA!$A$1:$B$14,2,0))</f>
        <v/>
      </c>
    </row>
    <row r="59" spans="1:10" x14ac:dyDescent="0.25">
      <c r="H59" t="str">
        <f>IF(G59="","",VLOOKUP(G59,REFERENCIA!$A$1:$B$14,2,0))</f>
        <v/>
      </c>
    </row>
    <row r="60" spans="1:10" x14ac:dyDescent="0.25">
      <c r="H60" t="str">
        <f>IF(G60="","",VLOOKUP(G60,REFERENCIA!$A$1:$B$14,2,0))</f>
        <v/>
      </c>
    </row>
    <row r="61" spans="1:10" x14ac:dyDescent="0.25">
      <c r="H61" t="str">
        <f>IF(G61="","",VLOOKUP(G61,REFERENCIA!$A$1:$B$14,2,0))</f>
        <v/>
      </c>
    </row>
    <row r="62" spans="1:10" x14ac:dyDescent="0.25">
      <c r="H62" t="str">
        <f>IF(G62="","",VLOOKUP(G62,REFERENCIA!$A$1:$B$14,2,0))</f>
        <v/>
      </c>
    </row>
    <row r="63" spans="1:10" x14ac:dyDescent="0.25">
      <c r="H63" t="str">
        <f>IF(G63="","",VLOOKUP(G63,REFERENCIA!$A$1:$B$14,2,0))</f>
        <v/>
      </c>
    </row>
    <row r="64" spans="1:10" x14ac:dyDescent="0.25">
      <c r="H64" t="str">
        <f>IF(G64="","",VLOOKUP(G64,REFERENCIA!$A$1:$B$14,2,0))</f>
        <v/>
      </c>
    </row>
    <row r="65" spans="8:8" x14ac:dyDescent="0.25">
      <c r="H65" t="str">
        <f>IF(G65="","",VLOOKUP(G65,REFERENCIA!$A$1:$B$14,2,0))</f>
        <v/>
      </c>
    </row>
    <row r="66" spans="8:8" x14ac:dyDescent="0.25">
      <c r="H66" t="str">
        <f>IF(G66="","",VLOOKUP(G66,REFERENCIA!$A$1:$B$14,2,0))</f>
        <v/>
      </c>
    </row>
    <row r="67" spans="8:8" x14ac:dyDescent="0.25">
      <c r="H67" t="str">
        <f>IF(G67="","",VLOOKUP(G67,REFERENCIA!$A$1:$B$14,2,0))</f>
        <v/>
      </c>
    </row>
    <row r="68" spans="8:8" x14ac:dyDescent="0.25">
      <c r="H68" t="str">
        <f>IF(G68="","",VLOOKUP(G68,REFERENCIA!$A$1:$B$14,2,0))</f>
        <v/>
      </c>
    </row>
    <row r="69" spans="8:8" x14ac:dyDescent="0.25">
      <c r="H69" t="str">
        <f>IF(G69="","",VLOOKUP(G69,REFERENCIA!$A$1:$B$14,2,0))</f>
        <v/>
      </c>
    </row>
    <row r="70" spans="8:8" x14ac:dyDescent="0.25">
      <c r="H70" t="str">
        <f>IF(G70="","",VLOOKUP(G70,REFERENCIA!$A$1:$B$14,2,0))</f>
        <v/>
      </c>
    </row>
    <row r="71" spans="8:8" x14ac:dyDescent="0.25">
      <c r="H71" t="str">
        <f>IF(G71="","",VLOOKUP(G71,REFERENCIA!$A$1:$B$14,2,0))</f>
        <v/>
      </c>
    </row>
    <row r="72" spans="8:8" x14ac:dyDescent="0.25">
      <c r="H72" t="str">
        <f>IF(G72="","",VLOOKUP(G72,REFERENCIA!$A$1:$B$14,2,0))</f>
        <v/>
      </c>
    </row>
    <row r="73" spans="8:8" x14ac:dyDescent="0.25">
      <c r="H73" t="str">
        <f>IF(G73="","",VLOOKUP(G73,REFERENCIA!$A$1:$B$14,2,0))</f>
        <v/>
      </c>
    </row>
    <row r="74" spans="8:8" x14ac:dyDescent="0.25">
      <c r="H74" t="str">
        <f>IF(G74="","",VLOOKUP(G74,REFERENCIA!$A$1:$B$14,2,0))</f>
        <v/>
      </c>
    </row>
    <row r="75" spans="8:8" x14ac:dyDescent="0.25">
      <c r="H75" t="str">
        <f>IF(G75="","",VLOOKUP(G75,REFERENCIA!$A$1:$B$14,2,0))</f>
        <v/>
      </c>
    </row>
    <row r="76" spans="8:8" x14ac:dyDescent="0.25">
      <c r="H76" t="str">
        <f>IF(G76="","",VLOOKUP(G76,REFERENCIA!$A$1:$B$14,2,0))</f>
        <v/>
      </c>
    </row>
    <row r="77" spans="8:8" x14ac:dyDescent="0.25">
      <c r="H77" t="str">
        <f>IF(G77="","",VLOOKUP(G77,REFERENCIA!$A$1:$B$14,2,0))</f>
        <v/>
      </c>
    </row>
    <row r="78" spans="8:8" x14ac:dyDescent="0.25">
      <c r="H78" t="str">
        <f>IF(G78="","",VLOOKUP(G78,REFERENCIA!$A$1:$B$14,2,0))</f>
        <v/>
      </c>
    </row>
    <row r="79" spans="8:8" x14ac:dyDescent="0.25">
      <c r="H79" t="str">
        <f>IF(G79="","",VLOOKUP(G79,REFERENCIA!$A$1:$B$14,2,0))</f>
        <v/>
      </c>
    </row>
    <row r="80" spans="8:8" x14ac:dyDescent="0.25">
      <c r="H80" t="str">
        <f>IF(G80="","",VLOOKUP(G80,REFERENCIA!$A$1:$B$14,2,0))</f>
        <v/>
      </c>
    </row>
    <row r="81" spans="8:8" x14ac:dyDescent="0.25">
      <c r="H81" t="str">
        <f>IF(G81="","",VLOOKUP(G81,REFERENCIA!$A$1:$B$14,2,0))</f>
        <v/>
      </c>
    </row>
    <row r="82" spans="8:8" x14ac:dyDescent="0.25">
      <c r="H82" t="str">
        <f>IF(G82="","",VLOOKUP(G82,REFERENCIA!$A$1:$B$14,2,0))</f>
        <v/>
      </c>
    </row>
    <row r="83" spans="8:8" x14ac:dyDescent="0.25">
      <c r="H83" t="str">
        <f>IF(G83="","",VLOOKUP(G83,REFERENCIA!$A$1:$B$14,2,0))</f>
        <v/>
      </c>
    </row>
    <row r="84" spans="8:8" x14ac:dyDescent="0.25">
      <c r="H84" t="str">
        <f>IF(G84="","",VLOOKUP(G84,REFERENCIA!$A$1:$B$14,2,0))</f>
        <v/>
      </c>
    </row>
    <row r="85" spans="8:8" x14ac:dyDescent="0.25">
      <c r="H85" t="str">
        <f>IF(G85="","",VLOOKUP(G85,REFERENCIA!$A$1:$B$14,2,0))</f>
        <v/>
      </c>
    </row>
    <row r="86" spans="8:8" x14ac:dyDescent="0.25">
      <c r="H86" t="str">
        <f>IF(G86="","",VLOOKUP(G86,REFERENCIA!$A$1:$B$14,2,0))</f>
        <v/>
      </c>
    </row>
    <row r="87" spans="8:8" x14ac:dyDescent="0.25">
      <c r="H87" t="str">
        <f>IF(G87="","",VLOOKUP(G87,REFERENCIA!$A$1:$B$14,2,0))</f>
        <v/>
      </c>
    </row>
    <row r="88" spans="8:8" x14ac:dyDescent="0.25">
      <c r="H88" t="str">
        <f>IF(G88="","",VLOOKUP(G88,REFERENCIA!$A$1:$B$14,2,0))</f>
        <v/>
      </c>
    </row>
    <row r="89" spans="8:8" x14ac:dyDescent="0.25">
      <c r="H89" t="str">
        <f>IF(G89="","",VLOOKUP(G89,REFERENCIA!$A$1:$B$14,2,0))</f>
        <v/>
      </c>
    </row>
    <row r="90" spans="8:8" x14ac:dyDescent="0.25">
      <c r="H90" t="str">
        <f>IF(G90="","",VLOOKUP(G90,REFERENCIA!$A$1:$B$14,2,0))</f>
        <v/>
      </c>
    </row>
    <row r="91" spans="8:8" x14ac:dyDescent="0.25">
      <c r="H91" t="str">
        <f>IF(G91="","",VLOOKUP(G91,REFERENCIA!$A$1:$B$14,2,0))</f>
        <v/>
      </c>
    </row>
    <row r="92" spans="8:8" x14ac:dyDescent="0.25">
      <c r="H92" t="str">
        <f>IF(G92="","",VLOOKUP(G92,REFERENCIA!$A$1:$B$14,2,0))</f>
        <v/>
      </c>
    </row>
    <row r="93" spans="8:8" x14ac:dyDescent="0.25">
      <c r="H93" t="str">
        <f>IF(G93="","",VLOOKUP(G93,REFERENCIA!$A$1:$B$14,2,0))</f>
        <v/>
      </c>
    </row>
    <row r="94" spans="8:8" x14ac:dyDescent="0.25">
      <c r="H94" t="str">
        <f>IF(G94="","",VLOOKUP(G94,REFERENCIA!$A$1:$B$14,2,0))</f>
        <v/>
      </c>
    </row>
    <row r="95" spans="8:8" x14ac:dyDescent="0.25">
      <c r="H95" t="str">
        <f>IF(G95="","",VLOOKUP(G95,REFERENCIA!$A$1:$B$14,2,0))</f>
        <v/>
      </c>
    </row>
    <row r="96" spans="8:8" x14ac:dyDescent="0.25">
      <c r="H96" t="str">
        <f>IF(G96="","",VLOOKUP(G96,REFERENCIA!$A$1:$B$14,2,0))</f>
        <v/>
      </c>
    </row>
    <row r="97" spans="8:8" x14ac:dyDescent="0.25">
      <c r="H97" t="str">
        <f>IF(G97="","",VLOOKUP(G97,REFERENCIA!$A$1:$B$14,2,0))</f>
        <v/>
      </c>
    </row>
    <row r="98" spans="8:8" x14ac:dyDescent="0.25">
      <c r="H98" t="str">
        <f>IF(G98="","",VLOOKUP(G98,REFERENCIA!$A$1:$B$14,2,0))</f>
        <v/>
      </c>
    </row>
    <row r="99" spans="8:8" x14ac:dyDescent="0.25">
      <c r="H99" t="str">
        <f>IF(G99="","",VLOOKUP(G99,REFERENCIA!$A$1:$B$14,2,0))</f>
        <v/>
      </c>
    </row>
    <row r="100" spans="8:8" x14ac:dyDescent="0.25">
      <c r="H100" t="str">
        <f>IF(G100="","",VLOOKUP(G100,REFERENCIA!$A$1:$B$14,2,0))</f>
        <v/>
      </c>
    </row>
    <row r="101" spans="8:8" x14ac:dyDescent="0.25">
      <c r="H101" t="str">
        <f>IF(G101="","",VLOOKUP(G101,REFERENCIA!$A$1:$B$14,2,0))</f>
        <v/>
      </c>
    </row>
    <row r="102" spans="8:8" x14ac:dyDescent="0.25">
      <c r="H102" t="str">
        <f>IF(G102="","",VLOOKUP(G102,REFERENCIA!$A$1:$B$14,2,0))</f>
        <v/>
      </c>
    </row>
    <row r="103" spans="8:8" x14ac:dyDescent="0.25">
      <c r="H103" t="str">
        <f>IF(G103="","",VLOOKUP(G103,REFERENCIA!$A$1:$B$14,2,0))</f>
        <v/>
      </c>
    </row>
    <row r="104" spans="8:8" x14ac:dyDescent="0.25">
      <c r="H104" t="str">
        <f>IF(G104="","",VLOOKUP(G104,REFERENCIA!$A$1:$B$14,2,0))</f>
        <v/>
      </c>
    </row>
    <row r="105" spans="8:8" x14ac:dyDescent="0.25">
      <c r="H105" t="str">
        <f>IF(G105="","",VLOOKUP(G105,REFERENCIA!$A$1:$B$14,2,0))</f>
        <v/>
      </c>
    </row>
    <row r="106" spans="8:8" x14ac:dyDescent="0.25">
      <c r="H106" t="str">
        <f>IF(G106="","",VLOOKUP(G106,REFERENCIA!$A$1:$B$14,2,0))</f>
        <v/>
      </c>
    </row>
    <row r="107" spans="8:8" x14ac:dyDescent="0.25">
      <c r="H107" t="str">
        <f>IF(G107="","",VLOOKUP(G107,REFERENCIA!$A$1:$B$14,2,0))</f>
        <v/>
      </c>
    </row>
    <row r="108" spans="8:8" x14ac:dyDescent="0.25">
      <c r="H108" t="str">
        <f>IF(G108="","",VLOOKUP(G108,REFERENCIA!$A$1:$B$14,2,0))</f>
        <v/>
      </c>
    </row>
    <row r="109" spans="8:8" x14ac:dyDescent="0.25">
      <c r="H109" t="str">
        <f>IF(G109="","",VLOOKUP(G109,REFERENCIA!$A$1:$B$14,2,0))</f>
        <v/>
      </c>
    </row>
    <row r="110" spans="8:8" x14ac:dyDescent="0.25">
      <c r="H110" t="str">
        <f>IF(G110="","",VLOOKUP(G110,REFERENCIA!$A$1:$B$14,2,0))</f>
        <v/>
      </c>
    </row>
    <row r="111" spans="8:8" x14ac:dyDescent="0.25">
      <c r="H111" t="str">
        <f>IF(G111="","",VLOOKUP(G111,REFERENCIA!$A$1:$B$14,2,0))</f>
        <v/>
      </c>
    </row>
    <row r="112" spans="8:8" x14ac:dyDescent="0.25">
      <c r="H112" t="str">
        <f>IF(G112="","",VLOOKUP(G112,REFERENCIA!$A$1:$B$14,2,0))</f>
        <v/>
      </c>
    </row>
    <row r="113" spans="8:8" x14ac:dyDescent="0.25">
      <c r="H113" t="str">
        <f>IF(G113="","",VLOOKUP(G113,REFERENCIA!$A$1:$B$14,2,0))</f>
        <v/>
      </c>
    </row>
    <row r="114" spans="8:8" x14ac:dyDescent="0.25">
      <c r="H114" t="str">
        <f>IF(G114="","",VLOOKUP(G114,REFERENCIA!$A$1:$B$14,2,0))</f>
        <v/>
      </c>
    </row>
    <row r="115" spans="8:8" x14ac:dyDescent="0.25">
      <c r="H115" t="str">
        <f>IF(G115="","",VLOOKUP(G115,REFERENCIA!$A$1:$B$14,2,0))</f>
        <v/>
      </c>
    </row>
    <row r="116" spans="8:8" x14ac:dyDescent="0.25">
      <c r="H116" t="str">
        <f>IF(G116="","",VLOOKUP(G116,REFERENCIA!$A$1:$B$14,2,0))</f>
        <v/>
      </c>
    </row>
    <row r="117" spans="8:8" x14ac:dyDescent="0.25">
      <c r="H117" t="str">
        <f>IF(G117="","",VLOOKUP(G117,REFERENCIA!$A$1:$B$14,2,0))</f>
        <v/>
      </c>
    </row>
    <row r="118" spans="8:8" x14ac:dyDescent="0.25">
      <c r="H118" t="str">
        <f>IF(G118="","",VLOOKUP(G118,REFERENCIA!$A$1:$B$14,2,0))</f>
        <v/>
      </c>
    </row>
    <row r="119" spans="8:8" x14ac:dyDescent="0.25">
      <c r="H119" t="str">
        <f>IF(G119="","",VLOOKUP(G119,REFERENCIA!$A$1:$B$14,2,0))</f>
        <v/>
      </c>
    </row>
    <row r="120" spans="8:8" x14ac:dyDescent="0.25">
      <c r="H120" t="str">
        <f>IF(G120="","",VLOOKUP(G120,REFERENCIA!$A$1:$B$14,2,0))</f>
        <v/>
      </c>
    </row>
    <row r="121" spans="8:8" x14ac:dyDescent="0.25">
      <c r="H121" t="str">
        <f>IF(G121="","",VLOOKUP(G121,REFERENCIA!$A$1:$B$14,2,0))</f>
        <v/>
      </c>
    </row>
    <row r="122" spans="8:8" x14ac:dyDescent="0.25">
      <c r="H122" t="str">
        <f>IF(G122="","",VLOOKUP(G122,REFERENCIA!$A$1:$B$14,2,0))</f>
        <v/>
      </c>
    </row>
    <row r="123" spans="8:8" x14ac:dyDescent="0.25">
      <c r="H123" t="str">
        <f>IF(G123="","",VLOOKUP(G123,REFERENCIA!$A$1:$B$14,2,0))</f>
        <v/>
      </c>
    </row>
    <row r="124" spans="8:8" x14ac:dyDescent="0.25">
      <c r="H124" t="str">
        <f>IF(G124="","",VLOOKUP(G124,REFERENCIA!$A$1:$B$14,2,0))</f>
        <v/>
      </c>
    </row>
    <row r="125" spans="8:8" x14ac:dyDescent="0.25">
      <c r="H125" t="str">
        <f>IF(G125="","",VLOOKUP(G125,REFERENCIA!$A$1:$B$14,2,0))</f>
        <v/>
      </c>
    </row>
    <row r="126" spans="8:8" x14ac:dyDescent="0.25">
      <c r="H126" t="str">
        <f>IF(G126="","",VLOOKUP(G126,REFERENCIA!$A$1:$B$14,2,0))</f>
        <v/>
      </c>
    </row>
    <row r="127" spans="8:8" x14ac:dyDescent="0.25">
      <c r="H127" t="str">
        <f>IF(G127="","",VLOOKUP(G127,REFERENCIA!$A$1:$B$14,2,0))</f>
        <v/>
      </c>
    </row>
    <row r="128" spans="8:8" x14ac:dyDescent="0.25">
      <c r="H128" t="str">
        <f>IF(G128="","",VLOOKUP(G128,REFERENCIA!$A$1:$B$14,2,0))</f>
        <v/>
      </c>
    </row>
    <row r="129" spans="8:8" x14ac:dyDescent="0.25">
      <c r="H129" t="str">
        <f>IF(G129="","",VLOOKUP(G129,REFERENCIA!$A$1:$B$14,2,0))</f>
        <v/>
      </c>
    </row>
    <row r="130" spans="8:8" x14ac:dyDescent="0.25">
      <c r="H130" t="str">
        <f>IF(G130="","",VLOOKUP(G130,REFERENCIA!$A$1:$B$14,2,0))</f>
        <v/>
      </c>
    </row>
    <row r="131" spans="8:8" x14ac:dyDescent="0.25">
      <c r="H131" t="str">
        <f>IF(G131="","",VLOOKUP(G131,REFERENCIA!$A$1:$B$14,2,0))</f>
        <v/>
      </c>
    </row>
    <row r="132" spans="8:8" x14ac:dyDescent="0.25">
      <c r="H132" t="str">
        <f>IF(G132="","",VLOOKUP(G132,REFERENCIA!$A$1:$B$14,2,0))</f>
        <v/>
      </c>
    </row>
    <row r="133" spans="8:8" x14ac:dyDescent="0.25">
      <c r="H133" t="str">
        <f>IF(G133="","",VLOOKUP(G133,REFERENCIA!$A$1:$B$14,2,0))</f>
        <v/>
      </c>
    </row>
    <row r="134" spans="8:8" x14ac:dyDescent="0.25">
      <c r="H134" t="str">
        <f>IF(G134="","",VLOOKUP(G134,REFERENCIA!$A$1:$B$14,2,0))</f>
        <v/>
      </c>
    </row>
    <row r="135" spans="8:8" x14ac:dyDescent="0.25">
      <c r="H135" t="str">
        <f>IF(G135="","",VLOOKUP(G135,REFERENCIA!$A$1:$B$14,2,0))</f>
        <v/>
      </c>
    </row>
    <row r="136" spans="8:8" x14ac:dyDescent="0.25">
      <c r="H136" t="str">
        <f>IF(G136="","",VLOOKUP(G136,REFERENCIA!$A$1:$B$14,2,0))</f>
        <v/>
      </c>
    </row>
    <row r="137" spans="8:8" x14ac:dyDescent="0.25">
      <c r="H137" t="str">
        <f>IF(G137="","",VLOOKUP(G137,REFERENCIA!$A$1:$B$14,2,0))</f>
        <v/>
      </c>
    </row>
    <row r="138" spans="8:8" x14ac:dyDescent="0.25">
      <c r="H138" t="str">
        <f>IF(G138="","",VLOOKUP(G138,REFERENCIA!$A$1:$B$14,2,0))</f>
        <v/>
      </c>
    </row>
    <row r="139" spans="8:8" x14ac:dyDescent="0.25">
      <c r="H139" t="str">
        <f>IF(G139="","",VLOOKUP(G139,REFERENCIA!$A$1:$B$14,2,0))</f>
        <v/>
      </c>
    </row>
    <row r="140" spans="8:8" x14ac:dyDescent="0.25">
      <c r="H140" t="str">
        <f>IF(G140="","",VLOOKUP(G140,REFERENCIA!$A$1:$B$14,2,0))</f>
        <v/>
      </c>
    </row>
    <row r="141" spans="8:8" x14ac:dyDescent="0.25">
      <c r="H141" t="str">
        <f>IF(G141="","",VLOOKUP(G141,REFERENCIA!$A$1:$B$14,2,0))</f>
        <v/>
      </c>
    </row>
    <row r="142" spans="8:8" x14ac:dyDescent="0.25">
      <c r="H142" t="str">
        <f>IF(G142="","",VLOOKUP(G142,REFERENCIA!$A$1:$B$14,2,0))</f>
        <v/>
      </c>
    </row>
    <row r="143" spans="8:8" x14ac:dyDescent="0.25">
      <c r="H143" t="str">
        <f>IF(G143="","",VLOOKUP(G143,REFERENCIA!$A$1:$B$14,2,0))</f>
        <v/>
      </c>
    </row>
    <row r="144" spans="8:8" x14ac:dyDescent="0.25">
      <c r="H144" t="str">
        <f>IF(G144="","",VLOOKUP(G144,REFERENCIA!$A$1:$B$14,2,0))</f>
        <v/>
      </c>
    </row>
    <row r="145" spans="8:8" x14ac:dyDescent="0.25">
      <c r="H145" t="str">
        <f>IF(G145="","",VLOOKUP(G145,REFERENCIA!$A$1:$B$14,2,0))</f>
        <v/>
      </c>
    </row>
    <row r="146" spans="8:8" x14ac:dyDescent="0.25">
      <c r="H146" t="str">
        <f>IF(G146="","",VLOOKUP(G146,REFERENCIA!$A$1:$B$14,2,0))</f>
        <v/>
      </c>
    </row>
    <row r="147" spans="8:8" x14ac:dyDescent="0.25">
      <c r="H147" t="str">
        <f>IF(G147="","",VLOOKUP(G147,REFERENCIA!$A$1:$B$14,2,0))</f>
        <v/>
      </c>
    </row>
    <row r="148" spans="8:8" x14ac:dyDescent="0.25">
      <c r="H148" t="str">
        <f>IF(G148="","",VLOOKUP(G148,REFERENCIA!$A$1:$B$14,2,0))</f>
        <v/>
      </c>
    </row>
    <row r="149" spans="8:8" x14ac:dyDescent="0.25">
      <c r="H149" t="str">
        <f>IF(G149="","",VLOOKUP(G149,REFERENCIA!$A$1:$B$14,2,0))</f>
        <v/>
      </c>
    </row>
    <row r="150" spans="8:8" x14ac:dyDescent="0.25">
      <c r="H150" t="str">
        <f>IF(G150="","",VLOOKUP(G150,REFERENCIA!$A$1:$B$14,2,0))</f>
        <v/>
      </c>
    </row>
    <row r="151" spans="8:8" x14ac:dyDescent="0.25">
      <c r="H151" t="str">
        <f>IF(G151="","",VLOOKUP(G151,REFERENCIA!$A$1:$B$14,2,0))</f>
        <v/>
      </c>
    </row>
    <row r="152" spans="8:8" x14ac:dyDescent="0.25">
      <c r="H152" t="str">
        <f>IF(G152="","",VLOOKUP(G152,REFERENCIA!$A$1:$B$14,2,0))</f>
        <v/>
      </c>
    </row>
    <row r="153" spans="8:8" x14ac:dyDescent="0.25">
      <c r="H153" t="str">
        <f>IF(G153="","",VLOOKUP(G153,REFERENCIA!$A$1:$B$14,2,0))</f>
        <v/>
      </c>
    </row>
    <row r="154" spans="8:8" x14ac:dyDescent="0.25">
      <c r="H154" t="str">
        <f>IF(G154="","",VLOOKUP(G154,REFERENCIA!$A$1:$B$14,2,0))</f>
        <v/>
      </c>
    </row>
    <row r="155" spans="8:8" x14ac:dyDescent="0.25">
      <c r="H155" t="str">
        <f>IF(G155="","",VLOOKUP(G155,REFERENCIA!$A$1:$B$14,2,0))</f>
        <v/>
      </c>
    </row>
    <row r="156" spans="8:8" x14ac:dyDescent="0.25">
      <c r="H156" t="str">
        <f>IF(G156="","",VLOOKUP(G156,REFERENCIA!$A$1:$B$14,2,0))</f>
        <v/>
      </c>
    </row>
    <row r="157" spans="8:8" x14ac:dyDescent="0.25">
      <c r="H157" t="str">
        <f>IF(G157="","",VLOOKUP(G157,REFERENCIA!$A$1:$B$14,2,0))</f>
        <v/>
      </c>
    </row>
    <row r="158" spans="8:8" x14ac:dyDescent="0.25">
      <c r="H158" t="str">
        <f>IF(G158="","",VLOOKUP(G158,REFERENCIA!$A$1:$B$14,2,0))</f>
        <v/>
      </c>
    </row>
    <row r="159" spans="8:8" x14ac:dyDescent="0.25">
      <c r="H159" t="str">
        <f>IF(G159="","",VLOOKUP(G159,REFERENCIA!$A$1:$B$14,2,0))</f>
        <v/>
      </c>
    </row>
    <row r="160" spans="8:8" x14ac:dyDescent="0.25">
      <c r="H160" t="str">
        <f>IF(G160="","",VLOOKUP(G160,REFERENCIA!$A$1:$B$14,2,0))</f>
        <v/>
      </c>
    </row>
    <row r="161" spans="8:8" x14ac:dyDescent="0.25">
      <c r="H161" t="str">
        <f>IF(G161="","",VLOOKUP(G161,REFERENCIA!$A$1:$B$14,2,0))</f>
        <v/>
      </c>
    </row>
    <row r="162" spans="8:8" x14ac:dyDescent="0.25">
      <c r="H162" t="str">
        <f>IF(G162="","",VLOOKUP(G162,REFERENCIA!$A$1:$B$14,2,0))</f>
        <v/>
      </c>
    </row>
    <row r="163" spans="8:8" x14ac:dyDescent="0.25">
      <c r="H163" t="str">
        <f>IF(G163="","",VLOOKUP(G163,REFERENCIA!$A$1:$B$14,2,0))</f>
        <v/>
      </c>
    </row>
    <row r="164" spans="8:8" x14ac:dyDescent="0.25">
      <c r="H164" t="str">
        <f>IF(G164="","",VLOOKUP(G164,REFERENCIA!$A$1:$B$14,2,0))</f>
        <v/>
      </c>
    </row>
    <row r="165" spans="8:8" x14ac:dyDescent="0.25">
      <c r="H165" t="str">
        <f>IF(G165="","",VLOOKUP(G165,REFERENCIA!$A$1:$B$14,2,0))</f>
        <v/>
      </c>
    </row>
    <row r="166" spans="8:8" x14ac:dyDescent="0.25">
      <c r="H166" t="str">
        <f>IF(G166="","",VLOOKUP(G166,REFERENCIA!$A$1:$B$14,2,0))</f>
        <v/>
      </c>
    </row>
    <row r="167" spans="8:8" x14ac:dyDescent="0.25">
      <c r="H167" t="str">
        <f>IF(G167="","",VLOOKUP(G167,REFERENCIA!$A$1:$B$14,2,0))</f>
        <v/>
      </c>
    </row>
    <row r="168" spans="8:8" x14ac:dyDescent="0.25">
      <c r="H168" t="str">
        <f>IF(G168="","",VLOOKUP(G168,REFERENCIA!$A$1:$B$14,2,0))</f>
        <v/>
      </c>
    </row>
    <row r="169" spans="8:8" x14ac:dyDescent="0.25">
      <c r="H169" t="str">
        <f>IF(G169="","",VLOOKUP(G169,REFERENCIA!$A$1:$B$14,2,0))</f>
        <v/>
      </c>
    </row>
    <row r="170" spans="8:8" x14ac:dyDescent="0.25">
      <c r="H170" t="str">
        <f>IF(G170="","",VLOOKUP(G170,REFERENCIA!$A$1:$B$14,2,0))</f>
        <v/>
      </c>
    </row>
    <row r="171" spans="8:8" x14ac:dyDescent="0.25">
      <c r="H171" t="str">
        <f>IF(G171="","",VLOOKUP(G171,REFERENCIA!$A$1:$B$14,2,0))</f>
        <v/>
      </c>
    </row>
    <row r="172" spans="8:8" x14ac:dyDescent="0.25">
      <c r="H172" t="str">
        <f>IF(G172="","",VLOOKUP(G172,REFERENCIA!$A$1:$B$14,2,0))</f>
        <v/>
      </c>
    </row>
    <row r="173" spans="8:8" x14ac:dyDescent="0.25">
      <c r="H173" t="str">
        <f>IF(G173="","",VLOOKUP(G173,REFERENCIA!$A$1:$B$14,2,0))</f>
        <v/>
      </c>
    </row>
    <row r="174" spans="8:8" x14ac:dyDescent="0.25">
      <c r="H174" t="str">
        <f>IF(G174="","",VLOOKUP(G174,REFERENCIA!$A$1:$B$14,2,0))</f>
        <v/>
      </c>
    </row>
    <row r="175" spans="8:8" x14ac:dyDescent="0.25">
      <c r="H175" t="str">
        <f>IF(G175="","",VLOOKUP(G175,REFERENCIA!$A$1:$B$14,2,0))</f>
        <v/>
      </c>
    </row>
    <row r="176" spans="8:8" x14ac:dyDescent="0.25">
      <c r="H176" t="str">
        <f>IF(G176="","",VLOOKUP(G176,REFERENCIA!$A$1:$B$14,2,0))</f>
        <v/>
      </c>
    </row>
    <row r="177" spans="8:8" x14ac:dyDescent="0.25">
      <c r="H177" t="str">
        <f>IF(G177="","",VLOOKUP(G177,REFERENCIA!$A$1:$B$14,2,0))</f>
        <v/>
      </c>
    </row>
    <row r="178" spans="8:8" x14ac:dyDescent="0.25">
      <c r="H178" t="str">
        <f>IF(G178="","",VLOOKUP(G178,REFERENCIA!$A$1:$B$14,2,0))</f>
        <v/>
      </c>
    </row>
    <row r="179" spans="8:8" x14ac:dyDescent="0.25">
      <c r="H179" t="str">
        <f>IF(G179="","",VLOOKUP(G179,REFERENCIA!$A$1:$B$14,2,0))</f>
        <v/>
      </c>
    </row>
    <row r="180" spans="8:8" x14ac:dyDescent="0.25">
      <c r="H180" t="str">
        <f>IF(G180="","",VLOOKUP(G180,REFERENCIA!$A$1:$B$14,2,0))</f>
        <v/>
      </c>
    </row>
    <row r="181" spans="8:8" x14ac:dyDescent="0.25">
      <c r="H181" t="str">
        <f>IF(G181="","",VLOOKUP(G181,REFERENCIA!$A$1:$B$14,2,0))</f>
        <v/>
      </c>
    </row>
    <row r="182" spans="8:8" x14ac:dyDescent="0.25">
      <c r="H182" t="str">
        <f>IF(G182="","",VLOOKUP(G182,REFERENCIA!$A$1:$B$14,2,0))</f>
        <v/>
      </c>
    </row>
    <row r="183" spans="8:8" x14ac:dyDescent="0.25">
      <c r="H183" t="str">
        <f>IF(G183="","",VLOOKUP(G183,REFERENCIA!$A$1:$B$14,2,0))</f>
        <v/>
      </c>
    </row>
    <row r="184" spans="8:8" x14ac:dyDescent="0.25">
      <c r="H184" t="str">
        <f>IF(G184="","",VLOOKUP(G184,REFERENCIA!$A$1:$B$14,2,0))</f>
        <v/>
      </c>
    </row>
    <row r="185" spans="8:8" x14ac:dyDescent="0.25">
      <c r="H185" t="str">
        <f>IF(G185="","",VLOOKUP(G185,REFERENCIA!$A$1:$B$14,2,0))</f>
        <v/>
      </c>
    </row>
    <row r="186" spans="8:8" x14ac:dyDescent="0.25">
      <c r="H186" t="str">
        <f>IF(G186="","",VLOOKUP(G186,REFERENCIA!$A$1:$B$14,2,0))</f>
        <v/>
      </c>
    </row>
    <row r="187" spans="8:8" x14ac:dyDescent="0.25">
      <c r="H187" t="str">
        <f>IF(G187="","",VLOOKUP(G187,REFERENCIA!$A$1:$B$14,2,0))</f>
        <v/>
      </c>
    </row>
    <row r="188" spans="8:8" x14ac:dyDescent="0.25">
      <c r="H188" t="str">
        <f>IF(G188="","",VLOOKUP(G188,REFERENCIA!$A$1:$B$14,2,0))</f>
        <v/>
      </c>
    </row>
    <row r="189" spans="8:8" x14ac:dyDescent="0.25">
      <c r="H189" t="str">
        <f>IF(G189="","",VLOOKUP(G189,REFERENCIA!$A$1:$B$14,2,0))</f>
        <v/>
      </c>
    </row>
    <row r="190" spans="8:8" x14ac:dyDescent="0.25">
      <c r="H190" t="str">
        <f>IF(G190="","",VLOOKUP(G190,REFERENCIA!$A$1:$B$14,2,0))</f>
        <v/>
      </c>
    </row>
    <row r="191" spans="8:8" x14ac:dyDescent="0.25">
      <c r="H191" t="str">
        <f>IF(G191="","",VLOOKUP(G191,REFERENCIA!$A$1:$B$14,2,0))</f>
        <v/>
      </c>
    </row>
    <row r="192" spans="8:8" x14ac:dyDescent="0.25">
      <c r="H192" t="str">
        <f>IF(G192="","",VLOOKUP(G192,REFERENCIA!$A$1:$B$14,2,0))</f>
        <v/>
      </c>
    </row>
    <row r="193" spans="8:8" x14ac:dyDescent="0.25">
      <c r="H193" t="str">
        <f>IF(G193="","",VLOOKUP(G193,REFERENCIA!$A$1:$B$14,2,0))</f>
        <v/>
      </c>
    </row>
    <row r="194" spans="8:8" x14ac:dyDescent="0.25">
      <c r="H194" t="str">
        <f>IF(G194="","",VLOOKUP(G194,REFERENCIA!$A$1:$B$14,2,0))</f>
        <v/>
      </c>
    </row>
    <row r="195" spans="8:8" x14ac:dyDescent="0.25">
      <c r="H195" t="str">
        <f>IF(G195="","",VLOOKUP(G195,REFERENCIA!$A$1:$B$14,2,0))</f>
        <v/>
      </c>
    </row>
    <row r="196" spans="8:8" x14ac:dyDescent="0.25">
      <c r="H196" t="str">
        <f>IF(G196="","",VLOOKUP(G196,REFERENCIA!$A$1:$B$14,2,0))</f>
        <v/>
      </c>
    </row>
    <row r="197" spans="8:8" x14ac:dyDescent="0.25">
      <c r="H197" t="str">
        <f>IF(G197="","",VLOOKUP(G197,REFERENCIA!$A$1:$B$14,2,0))</f>
        <v/>
      </c>
    </row>
    <row r="198" spans="8:8" x14ac:dyDescent="0.25">
      <c r="H198" t="str">
        <f>IF(G198="","",VLOOKUP(G198,REFERENCIA!$A$1:$B$14,2,0))</f>
        <v/>
      </c>
    </row>
    <row r="199" spans="8:8" x14ac:dyDescent="0.25">
      <c r="H199" t="str">
        <f>IF(G199="","",VLOOKUP(G199,REFERENCIA!$A$1:$B$14,2,0))</f>
        <v/>
      </c>
    </row>
    <row r="200" spans="8:8" x14ac:dyDescent="0.25">
      <c r="H200" t="str">
        <f>IF(G200="","",VLOOKUP(G200,REFERENCIA!$A$1:$B$14,2,0))</f>
        <v/>
      </c>
    </row>
    <row r="201" spans="8:8" x14ac:dyDescent="0.25">
      <c r="H201" t="str">
        <f>IF(G201="","",VLOOKUP(G201,REFERENCIA!$A$1:$B$14,2,0))</f>
        <v/>
      </c>
    </row>
    <row r="202" spans="8:8" x14ac:dyDescent="0.25">
      <c r="H202" t="str">
        <f>IF(G202="","",VLOOKUP(G202,REFERENCIA!$A$1:$B$14,2,0))</f>
        <v/>
      </c>
    </row>
    <row r="203" spans="8:8" x14ac:dyDescent="0.25">
      <c r="H203" t="str">
        <f>IF(G203="","",VLOOKUP(G203,REFERENCIA!$A$1:$B$14,2,0))</f>
        <v/>
      </c>
    </row>
    <row r="204" spans="8:8" x14ac:dyDescent="0.25">
      <c r="H204" t="str">
        <f>IF(G204="","",VLOOKUP(G204,REFERENCIA!$A$1:$B$14,2,0))</f>
        <v/>
      </c>
    </row>
    <row r="205" spans="8:8" x14ac:dyDescent="0.25">
      <c r="H205" t="str">
        <f>IF(G205="","",VLOOKUP(G205,REFERENCIA!$A$1:$B$14,2,0))</f>
        <v/>
      </c>
    </row>
    <row r="206" spans="8:8" x14ac:dyDescent="0.25">
      <c r="H206" t="str">
        <f>IF(G206="","",VLOOKUP(G206,REFERENCIA!$A$1:$B$14,2,0))</f>
        <v/>
      </c>
    </row>
    <row r="207" spans="8:8" x14ac:dyDescent="0.25">
      <c r="H207" t="str">
        <f>IF(G207="","",VLOOKUP(G207,REFERENCIA!$A$1:$B$14,2,0))</f>
        <v/>
      </c>
    </row>
    <row r="208" spans="8:8" x14ac:dyDescent="0.25">
      <c r="H208" t="str">
        <f>IF(G208="","",VLOOKUP(G208,REFERENCIA!$A$1:$B$14,2,0))</f>
        <v/>
      </c>
    </row>
    <row r="209" spans="8:8" x14ac:dyDescent="0.25">
      <c r="H209" t="str">
        <f>IF(G209="","",VLOOKUP(G209,REFERENCIA!$A$1:$B$14,2,0))</f>
        <v/>
      </c>
    </row>
    <row r="210" spans="8:8" x14ac:dyDescent="0.25">
      <c r="H210" t="str">
        <f>IF(G210="","",VLOOKUP(G210,REFERENCIA!$A$1:$B$14,2,0))</f>
        <v/>
      </c>
    </row>
    <row r="211" spans="8:8" x14ac:dyDescent="0.25">
      <c r="H211" t="str">
        <f>IF(G211="","",VLOOKUP(G211,REFERENCIA!$A$1:$B$14,2,0))</f>
        <v/>
      </c>
    </row>
    <row r="212" spans="8:8" x14ac:dyDescent="0.25">
      <c r="H212" t="str">
        <f>IF(G212="","",VLOOKUP(G212,REFERENCIA!$A$1:$B$14,2,0))</f>
        <v/>
      </c>
    </row>
    <row r="213" spans="8:8" x14ac:dyDescent="0.25">
      <c r="H213" t="str">
        <f>IF(G213="","",VLOOKUP(G213,REFERENCIA!$A$1:$B$14,2,0))</f>
        <v/>
      </c>
    </row>
    <row r="214" spans="8:8" x14ac:dyDescent="0.25">
      <c r="H214" t="str">
        <f>IF(G214="","",VLOOKUP(G214,REFERENCIA!$A$1:$B$14,2,0))</f>
        <v/>
      </c>
    </row>
    <row r="215" spans="8:8" x14ac:dyDescent="0.25">
      <c r="H215" t="str">
        <f>IF(G215="","",VLOOKUP(G215,REFERENCIA!$A$1:$B$14,2,0))</f>
        <v/>
      </c>
    </row>
    <row r="216" spans="8:8" x14ac:dyDescent="0.25">
      <c r="H216" t="str">
        <f>IF(G216="","",VLOOKUP(G216,REFERENCIA!$A$1:$B$14,2,0))</f>
        <v/>
      </c>
    </row>
    <row r="217" spans="8:8" x14ac:dyDescent="0.25">
      <c r="H217" t="str">
        <f>IF(G217="","",VLOOKUP(G217,REFERENCIA!$A$1:$B$14,2,0))</f>
        <v/>
      </c>
    </row>
    <row r="218" spans="8:8" x14ac:dyDescent="0.25">
      <c r="H218" t="str">
        <f>IF(G218="","",VLOOKUP(G218,REFERENCIA!$A$1:$B$14,2,0))</f>
        <v/>
      </c>
    </row>
    <row r="219" spans="8:8" x14ac:dyDescent="0.25">
      <c r="H219" t="str">
        <f>IF(G219="","",VLOOKUP(G219,REFERENCIA!$A$1:$B$14,2,0))</f>
        <v/>
      </c>
    </row>
    <row r="220" spans="8:8" x14ac:dyDescent="0.25">
      <c r="H220" t="str">
        <f>IF(G220="","",VLOOKUP(G220,REFERENCIA!$A$1:$B$14,2,0))</f>
        <v/>
      </c>
    </row>
    <row r="221" spans="8:8" x14ac:dyDescent="0.25">
      <c r="H221" t="str">
        <f>IF(G221="","",VLOOKUP(G221,REFERENCIA!$A$1:$B$14,2,0))</f>
        <v/>
      </c>
    </row>
    <row r="222" spans="8:8" x14ac:dyDescent="0.25">
      <c r="H222" t="str">
        <f>IF(G222="","",VLOOKUP(G222,REFERENCIA!$A$1:$B$14,2,0))</f>
        <v/>
      </c>
    </row>
    <row r="223" spans="8:8" x14ac:dyDescent="0.25">
      <c r="H223" t="str">
        <f>IF(G223="","",VLOOKUP(G223,REFERENCIA!$A$1:$B$14,2,0))</f>
        <v/>
      </c>
    </row>
    <row r="224" spans="8:8" x14ac:dyDescent="0.25">
      <c r="H224" t="str">
        <f>IF(G224="","",VLOOKUP(G224,REFERENCIA!$A$1:$B$14,2,0))</f>
        <v/>
      </c>
    </row>
    <row r="225" spans="8:8" x14ac:dyDescent="0.25">
      <c r="H225" t="str">
        <f>IF(G225="","",VLOOKUP(G225,REFERENCIA!$A$1:$B$14,2,0))</f>
        <v/>
      </c>
    </row>
    <row r="226" spans="8:8" x14ac:dyDescent="0.25">
      <c r="H226" t="str">
        <f>IF(G226="","",VLOOKUP(G226,REFERENCIA!$A$1:$B$14,2,0))</f>
        <v/>
      </c>
    </row>
    <row r="227" spans="8:8" x14ac:dyDescent="0.25">
      <c r="H227" t="str">
        <f>IF(G227="","",VLOOKUP(G227,REFERENCIA!$A$1:$B$14,2,0))</f>
        <v/>
      </c>
    </row>
    <row r="228" spans="8:8" x14ac:dyDescent="0.25">
      <c r="H228" t="str">
        <f>IF(G228="","",VLOOKUP(G228,REFERENCIA!$A$1:$B$14,2,0))</f>
        <v/>
      </c>
    </row>
    <row r="229" spans="8:8" x14ac:dyDescent="0.25">
      <c r="H229" t="str">
        <f>IF(G229="","",VLOOKUP(G229,REFERENCIA!$A$1:$B$14,2,0))</f>
        <v/>
      </c>
    </row>
    <row r="230" spans="8:8" x14ac:dyDescent="0.25">
      <c r="H230" t="str">
        <f>IF(G230="","",VLOOKUP(G230,REFERENCIA!$A$1:$B$14,2,0))</f>
        <v/>
      </c>
    </row>
    <row r="231" spans="8:8" x14ac:dyDescent="0.25">
      <c r="H231" t="str">
        <f>IF(G231="","",VLOOKUP(G231,REFERENCIA!$A$1:$B$14,2,0))</f>
        <v/>
      </c>
    </row>
    <row r="232" spans="8:8" x14ac:dyDescent="0.25">
      <c r="H232" t="str">
        <f>IF(G232="","",VLOOKUP(G232,REFERENCIA!$A$1:$B$14,2,0))</f>
        <v/>
      </c>
    </row>
    <row r="233" spans="8:8" x14ac:dyDescent="0.25">
      <c r="H233" t="str">
        <f>IF(G233="","",VLOOKUP(G233,REFERENCIA!$A$1:$B$14,2,0))</f>
        <v/>
      </c>
    </row>
    <row r="234" spans="8:8" x14ac:dyDescent="0.25">
      <c r="H234" t="str">
        <f>IF(G234="","",VLOOKUP(G234,REFERENCIA!$A$1:$B$14,2,0))</f>
        <v/>
      </c>
    </row>
    <row r="235" spans="8:8" x14ac:dyDescent="0.25">
      <c r="H235" t="str">
        <f>IF(G235="","",VLOOKUP(G235,REFERENCIA!$A$1:$B$14,2,0))</f>
        <v/>
      </c>
    </row>
    <row r="236" spans="8:8" x14ac:dyDescent="0.25">
      <c r="H236" t="str">
        <f>IF(G236="","",VLOOKUP(G236,REFERENCIA!$A$1:$B$14,2,0))</f>
        <v/>
      </c>
    </row>
    <row r="237" spans="8:8" x14ac:dyDescent="0.25">
      <c r="H237" t="str">
        <f>IF(G237="","",VLOOKUP(G237,REFERENCIA!$A$1:$B$14,2,0))</f>
        <v/>
      </c>
    </row>
    <row r="238" spans="8:8" x14ac:dyDescent="0.25">
      <c r="H238" t="str">
        <f>IF(G238="","",VLOOKUP(G238,REFERENCIA!$A$1:$B$14,2,0))</f>
        <v/>
      </c>
    </row>
    <row r="239" spans="8:8" x14ac:dyDescent="0.25">
      <c r="H239" t="str">
        <f>IF(G239="","",VLOOKUP(G239,REFERENCIA!$A$1:$B$14,2,0))</f>
        <v/>
      </c>
    </row>
    <row r="240" spans="8:8" x14ac:dyDescent="0.25">
      <c r="H240" t="str">
        <f>IF(G240="","",VLOOKUP(G240,REFERENCIA!$A$1:$B$14,2,0))</f>
        <v/>
      </c>
    </row>
    <row r="241" spans="8:8" x14ac:dyDescent="0.25">
      <c r="H241" t="str">
        <f>IF(G241="","",VLOOKUP(G241,REFERENCIA!$A$1:$B$14,2,0))</f>
        <v/>
      </c>
    </row>
    <row r="242" spans="8:8" x14ac:dyDescent="0.25">
      <c r="H242" t="str">
        <f>IF(G242="","",VLOOKUP(G242,REFERENCIA!$A$1:$B$14,2,0))</f>
        <v/>
      </c>
    </row>
    <row r="243" spans="8:8" x14ac:dyDescent="0.25">
      <c r="H243" t="str">
        <f>IF(G243="","",VLOOKUP(G243,REFERENCIA!$A$1:$B$14,2,0))</f>
        <v/>
      </c>
    </row>
    <row r="244" spans="8:8" x14ac:dyDescent="0.25">
      <c r="H244" t="str">
        <f>IF(G244="","",VLOOKUP(G244,REFERENCIA!$A$1:$B$14,2,0))</f>
        <v/>
      </c>
    </row>
    <row r="245" spans="8:8" x14ac:dyDescent="0.25">
      <c r="H245" t="str">
        <f>IF(G245="","",VLOOKUP(G245,REFERENCIA!$A$1:$B$14,2,0))</f>
        <v/>
      </c>
    </row>
    <row r="246" spans="8:8" x14ac:dyDescent="0.25">
      <c r="H246" t="str">
        <f>IF(G246="","",VLOOKUP(G246,REFERENCIA!$A$1:$B$14,2,0))</f>
        <v/>
      </c>
    </row>
    <row r="247" spans="8:8" x14ac:dyDescent="0.25">
      <c r="H247" t="str">
        <f>IF(G247="","",VLOOKUP(G247,REFERENCIA!$A$1:$B$14,2,0))</f>
        <v/>
      </c>
    </row>
    <row r="248" spans="8:8" x14ac:dyDescent="0.25">
      <c r="H248" t="str">
        <f>IF(G248="","",VLOOKUP(G248,REFERENCIA!$A$1:$B$14,2,0))</f>
        <v/>
      </c>
    </row>
    <row r="249" spans="8:8" x14ac:dyDescent="0.25">
      <c r="H249" t="str">
        <f>IF(G249="","",VLOOKUP(G249,REFERENCIA!$A$1:$B$14,2,0))</f>
        <v/>
      </c>
    </row>
    <row r="250" spans="8:8" x14ac:dyDescent="0.25">
      <c r="H250" t="str">
        <f>IF(G250="","",VLOOKUP(G250,REFERENCIA!$A$1:$B$14,2,0))</f>
        <v/>
      </c>
    </row>
    <row r="251" spans="8:8" x14ac:dyDescent="0.25">
      <c r="H251" t="str">
        <f>IF(G251="","",VLOOKUP(G251,REFERENCIA!$A$1:$B$14,2,0))</f>
        <v/>
      </c>
    </row>
    <row r="252" spans="8:8" x14ac:dyDescent="0.25">
      <c r="H252" t="str">
        <f>IF(G252="","",VLOOKUP(G252,REFERENCIA!$A$1:$B$14,2,0))</f>
        <v/>
      </c>
    </row>
    <row r="253" spans="8:8" x14ac:dyDescent="0.25">
      <c r="H253" t="str">
        <f>IF(G253="","",VLOOKUP(G253,REFERENCIA!$A$1:$B$14,2,0))</f>
        <v/>
      </c>
    </row>
    <row r="254" spans="8:8" x14ac:dyDescent="0.25">
      <c r="H254" t="str">
        <f>IF(G254="","",VLOOKUP(G254,REFERENCIA!$A$1:$B$14,2,0))</f>
        <v/>
      </c>
    </row>
    <row r="255" spans="8:8" x14ac:dyDescent="0.25">
      <c r="H255" t="str">
        <f>IF(G255="","",VLOOKUP(G255,REFERENCIA!$A$1:$B$14,2,0))</f>
        <v/>
      </c>
    </row>
    <row r="256" spans="8:8" x14ac:dyDescent="0.25">
      <c r="H256" t="str">
        <f>IF(G256="","",VLOOKUP(G256,REFERENCIA!$A$1:$B$14,2,0))</f>
        <v/>
      </c>
    </row>
    <row r="257" spans="8:8" x14ac:dyDescent="0.25">
      <c r="H257" t="str">
        <f>IF(G257="","",VLOOKUP(G257,REFERENCIA!$A$1:$B$14,2,0))</f>
        <v/>
      </c>
    </row>
    <row r="258" spans="8:8" x14ac:dyDescent="0.25">
      <c r="H258" t="str">
        <f>IF(G258="","",VLOOKUP(G258,REFERENCIA!$A$1:$B$14,2,0))</f>
        <v/>
      </c>
    </row>
    <row r="259" spans="8:8" x14ac:dyDescent="0.25">
      <c r="H259" t="str">
        <f>IF(G259="","",VLOOKUP(G259,REFERENCIA!$A$1:$B$14,2,0))</f>
        <v/>
      </c>
    </row>
    <row r="260" spans="8:8" x14ac:dyDescent="0.25">
      <c r="H260" t="str">
        <f>IF(G260="","",VLOOKUP(G260,REFERENCIA!$A$1:$B$14,2,0))</f>
        <v/>
      </c>
    </row>
    <row r="261" spans="8:8" x14ac:dyDescent="0.25">
      <c r="H261" t="str">
        <f>IF(G261="","",VLOOKUP(G261,REFERENCIA!$A$1:$B$14,2,0))</f>
        <v/>
      </c>
    </row>
    <row r="262" spans="8:8" x14ac:dyDescent="0.25">
      <c r="H262" t="str">
        <f>IF(G262="","",VLOOKUP(G262,REFERENCIA!$A$1:$B$14,2,0))</f>
        <v/>
      </c>
    </row>
    <row r="263" spans="8:8" x14ac:dyDescent="0.25">
      <c r="H263" t="str">
        <f>IF(G263="","",VLOOKUP(G263,REFERENCIA!$A$1:$B$14,2,0))</f>
        <v/>
      </c>
    </row>
    <row r="264" spans="8:8" x14ac:dyDescent="0.25">
      <c r="H264" t="str">
        <f>IF(G264="","",VLOOKUP(G264,REFERENCIA!$A$1:$B$14,2,0))</f>
        <v/>
      </c>
    </row>
    <row r="265" spans="8:8" x14ac:dyDescent="0.25">
      <c r="H265" t="str">
        <f>IF(G265="","",VLOOKUP(G265,REFERENCIA!$A$1:$B$14,2,0))</f>
        <v/>
      </c>
    </row>
    <row r="266" spans="8:8" x14ac:dyDescent="0.25">
      <c r="H266" t="str">
        <f>IF(G266="","",VLOOKUP(G266,REFERENCIA!$A$1:$B$14,2,0))</f>
        <v/>
      </c>
    </row>
    <row r="267" spans="8:8" x14ac:dyDescent="0.25">
      <c r="H267" t="str">
        <f>IF(G267="","",VLOOKUP(G267,REFERENCIA!$A$1:$B$14,2,0))</f>
        <v/>
      </c>
    </row>
    <row r="268" spans="8:8" x14ac:dyDescent="0.25">
      <c r="H268" t="str">
        <f>IF(G268="","",VLOOKUP(G268,REFERENCIA!$A$1:$B$14,2,0))</f>
        <v/>
      </c>
    </row>
    <row r="269" spans="8:8" x14ac:dyDescent="0.25">
      <c r="H269" t="str">
        <f>IF(G269="","",VLOOKUP(G269,REFERENCIA!$A$1:$B$14,2,0))</f>
        <v/>
      </c>
    </row>
    <row r="270" spans="8:8" x14ac:dyDescent="0.25">
      <c r="H270" t="str">
        <f>IF(G270="","",VLOOKUP(G270,REFERENCIA!$A$1:$B$14,2,0))</f>
        <v/>
      </c>
    </row>
    <row r="271" spans="8:8" x14ac:dyDescent="0.25">
      <c r="H271" t="str">
        <f>IF(G271="","",VLOOKUP(G271,REFERENCIA!$A$1:$B$14,2,0))</f>
        <v/>
      </c>
    </row>
    <row r="272" spans="8:8" x14ac:dyDescent="0.25">
      <c r="H272" t="str">
        <f>IF(G272="","",VLOOKUP(G272,REFERENCIA!$A$1:$B$14,2,0))</f>
        <v/>
      </c>
    </row>
    <row r="273" spans="8:8" x14ac:dyDescent="0.25">
      <c r="H273" t="str">
        <f>IF(G273="","",VLOOKUP(G273,REFERENCIA!$A$1:$B$14,2,0))</f>
        <v/>
      </c>
    </row>
    <row r="274" spans="8:8" x14ac:dyDescent="0.25">
      <c r="H274" t="str">
        <f>IF(G274="","",VLOOKUP(G274,REFERENCIA!$A$1:$B$14,2,0))</f>
        <v/>
      </c>
    </row>
    <row r="275" spans="8:8" x14ac:dyDescent="0.25">
      <c r="H275" t="str">
        <f>IF(G275="","",VLOOKUP(G275,REFERENCIA!$A$1:$B$14,2,0))</f>
        <v/>
      </c>
    </row>
    <row r="276" spans="8:8" x14ac:dyDescent="0.25">
      <c r="H276" t="str">
        <f>IF(G276="","",VLOOKUP(G276,REFERENCIA!$A$1:$B$14,2,0))</f>
        <v/>
      </c>
    </row>
    <row r="277" spans="8:8" x14ac:dyDescent="0.25">
      <c r="H277" t="str">
        <f>IF(G277="","",VLOOKUP(G277,REFERENCIA!$A$1:$B$14,2,0))</f>
        <v/>
      </c>
    </row>
    <row r="278" spans="8:8" x14ac:dyDescent="0.25">
      <c r="H278" t="str">
        <f>IF(G278="","",VLOOKUP(G278,REFERENCIA!$A$1:$B$14,2,0))</f>
        <v/>
      </c>
    </row>
    <row r="279" spans="8:8" x14ac:dyDescent="0.25">
      <c r="H279" t="str">
        <f>IF(G279="","",VLOOKUP(G279,REFERENCIA!$A$1:$B$14,2,0))</f>
        <v/>
      </c>
    </row>
    <row r="280" spans="8:8" x14ac:dyDescent="0.25">
      <c r="H280" t="str">
        <f>IF(G280="","",VLOOKUP(G280,REFERENCIA!$A$1:$B$14,2,0))</f>
        <v/>
      </c>
    </row>
    <row r="281" spans="8:8" x14ac:dyDescent="0.25">
      <c r="H281" t="str">
        <f>IF(G281="","",VLOOKUP(G281,REFERENCIA!$A$1:$B$14,2,0))</f>
        <v/>
      </c>
    </row>
    <row r="282" spans="8:8" x14ac:dyDescent="0.25">
      <c r="H282" t="str">
        <f>IF(G282="","",VLOOKUP(G282,REFERENCIA!$A$1:$B$14,2,0))</f>
        <v/>
      </c>
    </row>
    <row r="283" spans="8:8" x14ac:dyDescent="0.25">
      <c r="H283" t="str">
        <f>IF(G283="","",VLOOKUP(G283,REFERENCIA!$A$1:$B$14,2,0))</f>
        <v/>
      </c>
    </row>
    <row r="284" spans="8:8" x14ac:dyDescent="0.25">
      <c r="H284" t="str">
        <f>IF(G284="","",VLOOKUP(G284,REFERENCIA!$A$1:$B$14,2,0))</f>
        <v/>
      </c>
    </row>
    <row r="285" spans="8:8" x14ac:dyDescent="0.25">
      <c r="H285" t="str">
        <f>IF(G285="","",VLOOKUP(G285,REFERENCIA!$A$1:$B$14,2,0))</f>
        <v/>
      </c>
    </row>
    <row r="286" spans="8:8" x14ac:dyDescent="0.25">
      <c r="H286" t="str">
        <f>IF(G286="","",VLOOKUP(G286,REFERENCIA!$A$1:$B$14,2,0))</f>
        <v/>
      </c>
    </row>
    <row r="287" spans="8:8" x14ac:dyDescent="0.25">
      <c r="H287" t="str">
        <f>IF(G287="","",VLOOKUP(G287,REFERENCIA!$A$1:$B$14,2,0))</f>
        <v/>
      </c>
    </row>
    <row r="288" spans="8:8" x14ac:dyDescent="0.25">
      <c r="H288" t="str">
        <f>IF(G288="","",VLOOKUP(G288,REFERENCIA!$A$1:$B$14,2,0))</f>
        <v/>
      </c>
    </row>
    <row r="289" spans="8:8" x14ac:dyDescent="0.25">
      <c r="H289" t="str">
        <f>IF(G289="","",VLOOKUP(G289,REFERENCIA!$A$1:$B$14,2,0))</f>
        <v/>
      </c>
    </row>
    <row r="290" spans="8:8" x14ac:dyDescent="0.25">
      <c r="H290" t="str">
        <f>IF(G290="","",VLOOKUP(G290,REFERENCIA!$A$1:$B$14,2,0))</f>
        <v/>
      </c>
    </row>
    <row r="291" spans="8:8" x14ac:dyDescent="0.25">
      <c r="H291" t="str">
        <f>IF(G291="","",VLOOKUP(G291,REFERENCIA!$A$1:$B$14,2,0))</f>
        <v/>
      </c>
    </row>
    <row r="292" spans="8:8" x14ac:dyDescent="0.25">
      <c r="H292" t="str">
        <f>IF(G292="","",VLOOKUP(G292,REFERENCIA!$A$1:$B$14,2,0))</f>
        <v/>
      </c>
    </row>
    <row r="293" spans="8:8" x14ac:dyDescent="0.25">
      <c r="H293" t="str">
        <f>IF(G293="","",VLOOKUP(G293,REFERENCIA!$A$1:$B$14,2,0))</f>
        <v/>
      </c>
    </row>
    <row r="294" spans="8:8" x14ac:dyDescent="0.25">
      <c r="H294" t="str">
        <f>IF(G294="","",VLOOKUP(G294,REFERENCIA!$A$1:$B$14,2,0))</f>
        <v/>
      </c>
    </row>
    <row r="295" spans="8:8" x14ac:dyDescent="0.25">
      <c r="H295" t="str">
        <f>IF(G295="","",VLOOKUP(G295,REFERENCIA!$A$1:$B$14,2,0))</f>
        <v/>
      </c>
    </row>
    <row r="296" spans="8:8" x14ac:dyDescent="0.25">
      <c r="H296" t="str">
        <f>IF(G296="","",VLOOKUP(G296,REFERENCIA!$A$1:$B$14,2,0))</f>
        <v/>
      </c>
    </row>
    <row r="297" spans="8:8" x14ac:dyDescent="0.25">
      <c r="H297" t="str">
        <f>IF(G297="","",VLOOKUP(G297,REFERENCIA!$A$1:$B$14,2,0))</f>
        <v/>
      </c>
    </row>
    <row r="298" spans="8:8" x14ac:dyDescent="0.25">
      <c r="H298" t="str">
        <f>IF(G298="","",VLOOKUP(G298,REFERENCIA!$A$1:$B$14,2,0))</f>
        <v/>
      </c>
    </row>
    <row r="299" spans="8:8" x14ac:dyDescent="0.25">
      <c r="H299" t="str">
        <f>IF(G299="","",VLOOKUP(G299,REFERENCIA!$A$1:$B$14,2,0))</f>
        <v/>
      </c>
    </row>
    <row r="300" spans="8:8" x14ac:dyDescent="0.25">
      <c r="H300" t="str">
        <f>IF(G300="","",VLOOKUP(G300,REFERENCIA!$A$1:$B$14,2,0))</f>
        <v/>
      </c>
    </row>
    <row r="301" spans="8:8" x14ac:dyDescent="0.25">
      <c r="H301" t="str">
        <f>IF(G301="","",VLOOKUP(G301,REFERENCIA!$A$1:$B$14,2,0))</f>
        <v/>
      </c>
    </row>
    <row r="302" spans="8:8" x14ac:dyDescent="0.25">
      <c r="H302" t="str">
        <f>IF(G302="","",VLOOKUP(G302,REFERENCIA!$A$1:$B$14,2,0))</f>
        <v/>
      </c>
    </row>
    <row r="303" spans="8:8" x14ac:dyDescent="0.25">
      <c r="H303" t="str">
        <f>IF(G303="","",VLOOKUP(G303,REFERENCIA!$A$1:$B$14,2,0))</f>
        <v/>
      </c>
    </row>
    <row r="304" spans="8:8" x14ac:dyDescent="0.25">
      <c r="H304" t="str">
        <f>IF(G304="","",VLOOKUP(G304,REFERENCIA!$A$1:$B$14,2,0))</f>
        <v/>
      </c>
    </row>
    <row r="305" spans="8:8" x14ac:dyDescent="0.25">
      <c r="H305" t="str">
        <f>IF(G305="","",VLOOKUP(G305,REFERENCIA!$A$1:$B$14,2,0))</f>
        <v/>
      </c>
    </row>
    <row r="306" spans="8:8" x14ac:dyDescent="0.25">
      <c r="H306" t="str">
        <f>IF(G306="","",VLOOKUP(G306,REFERENCIA!$A$1:$B$14,2,0))</f>
        <v/>
      </c>
    </row>
    <row r="307" spans="8:8" x14ac:dyDescent="0.25">
      <c r="H307" t="str">
        <f>IF(G307="","",VLOOKUP(G307,REFERENCIA!$A$1:$B$14,2,0))</f>
        <v/>
      </c>
    </row>
    <row r="308" spans="8:8" x14ac:dyDescent="0.25">
      <c r="H308" t="str">
        <f>IF(G308="","",VLOOKUP(G308,REFERENCIA!$A$1:$B$14,2,0))</f>
        <v/>
      </c>
    </row>
    <row r="309" spans="8:8" x14ac:dyDescent="0.25">
      <c r="H309" t="str">
        <f>IF(G309="","",VLOOKUP(G309,REFERENCIA!$A$1:$B$14,2,0))</f>
        <v/>
      </c>
    </row>
    <row r="310" spans="8:8" x14ac:dyDescent="0.25">
      <c r="H310" t="str">
        <f>IF(G310="","",VLOOKUP(G310,REFERENCIA!$A$1:$B$14,2,0))</f>
        <v/>
      </c>
    </row>
    <row r="311" spans="8:8" x14ac:dyDescent="0.25">
      <c r="H311" t="str">
        <f>IF(G311="","",VLOOKUP(G311,REFERENCIA!$A$1:$B$14,2,0))</f>
        <v/>
      </c>
    </row>
    <row r="312" spans="8:8" x14ac:dyDescent="0.25">
      <c r="H312" t="str">
        <f>IF(G312="","",VLOOKUP(G312,REFERENCIA!$A$1:$B$14,2,0))</f>
        <v/>
      </c>
    </row>
    <row r="313" spans="8:8" x14ac:dyDescent="0.25">
      <c r="H313" t="str">
        <f>IF(G313="","",VLOOKUP(G313,REFERENCIA!$A$1:$B$14,2,0))</f>
        <v/>
      </c>
    </row>
    <row r="314" spans="8:8" x14ac:dyDescent="0.25">
      <c r="H314" t="str">
        <f>IF(G314="","",VLOOKUP(G314,REFERENCIA!$A$1:$B$14,2,0))</f>
        <v/>
      </c>
    </row>
    <row r="315" spans="8:8" x14ac:dyDescent="0.25">
      <c r="H315" t="str">
        <f>IF(G315="","",VLOOKUP(G315,REFERENCIA!$A$1:$B$14,2,0))</f>
        <v/>
      </c>
    </row>
    <row r="316" spans="8:8" x14ac:dyDescent="0.25">
      <c r="H316" t="str">
        <f>IF(G316="","",VLOOKUP(G316,REFERENCIA!$A$1:$B$14,2,0))</f>
        <v/>
      </c>
    </row>
    <row r="317" spans="8:8" x14ac:dyDescent="0.25">
      <c r="H317" t="str">
        <f>IF(G317="","",VLOOKUP(G317,REFERENCIA!$A$1:$B$14,2,0))</f>
        <v/>
      </c>
    </row>
    <row r="318" spans="8:8" x14ac:dyDescent="0.25">
      <c r="H318" t="str">
        <f>IF(G318="","",VLOOKUP(G318,REFERENCIA!$A$1:$B$14,2,0))</f>
        <v/>
      </c>
    </row>
    <row r="319" spans="8:8" x14ac:dyDescent="0.25">
      <c r="H319" t="str">
        <f>IF(G319="","",VLOOKUP(G319,REFERENCIA!$A$1:$B$14,2,0))</f>
        <v/>
      </c>
    </row>
    <row r="320" spans="8:8" x14ac:dyDescent="0.25">
      <c r="H320" t="str">
        <f>IF(G320="","",VLOOKUP(G320,REFERENCIA!$A$1:$B$14,2,0))</f>
        <v/>
      </c>
    </row>
    <row r="321" spans="8:8" x14ac:dyDescent="0.25">
      <c r="H321" t="str">
        <f>IF(G321="","",VLOOKUP(G321,REFERENCIA!$A$1:$B$14,2,0))</f>
        <v/>
      </c>
    </row>
    <row r="322" spans="8:8" x14ac:dyDescent="0.25">
      <c r="H322" t="str">
        <f>IF(G322="","",VLOOKUP(G322,REFERENCIA!$A$1:$B$14,2,0))</f>
        <v/>
      </c>
    </row>
    <row r="323" spans="8:8" x14ac:dyDescent="0.25">
      <c r="H323" t="str">
        <f>IF(G323="","",VLOOKUP(G323,REFERENCIA!$A$1:$B$14,2,0))</f>
        <v/>
      </c>
    </row>
    <row r="324" spans="8:8" x14ac:dyDescent="0.25">
      <c r="H324" t="str">
        <f>IF(G324="","",VLOOKUP(G324,REFERENCIA!$A$1:$B$14,2,0))</f>
        <v/>
      </c>
    </row>
    <row r="325" spans="8:8" x14ac:dyDescent="0.25">
      <c r="H325" t="str">
        <f>IF(G325="","",VLOOKUP(G325,REFERENCIA!$A$1:$B$14,2,0))</f>
        <v/>
      </c>
    </row>
    <row r="326" spans="8:8" x14ac:dyDescent="0.25">
      <c r="H326" t="str">
        <f>IF(G326="","",VLOOKUP(G326,REFERENCIA!$A$1:$B$14,2,0))</f>
        <v/>
      </c>
    </row>
    <row r="327" spans="8:8" x14ac:dyDescent="0.25">
      <c r="H327" t="str">
        <f>IF(G327="","",VLOOKUP(G327,REFERENCIA!$A$1:$B$14,2,0))</f>
        <v/>
      </c>
    </row>
    <row r="328" spans="8:8" x14ac:dyDescent="0.25">
      <c r="H328" t="str">
        <f>IF(G328="","",VLOOKUP(G328,REFERENCIA!$A$1:$B$14,2,0))</f>
        <v/>
      </c>
    </row>
    <row r="329" spans="8:8" x14ac:dyDescent="0.25">
      <c r="H329" t="str">
        <f>IF(G329="","",VLOOKUP(G329,REFERENCIA!$A$1:$B$14,2,0))</f>
        <v/>
      </c>
    </row>
    <row r="330" spans="8:8" x14ac:dyDescent="0.25">
      <c r="H330" t="str">
        <f>IF(G330="","",VLOOKUP(G330,REFERENCIA!$A$1:$B$14,2,0))</f>
        <v/>
      </c>
    </row>
    <row r="331" spans="8:8" x14ac:dyDescent="0.25">
      <c r="H331" t="str">
        <f>IF(G331="","",VLOOKUP(G331,REFERENCIA!$A$1:$B$14,2,0))</f>
        <v/>
      </c>
    </row>
    <row r="332" spans="8:8" x14ac:dyDescent="0.25">
      <c r="H332" t="str">
        <f>IF(G332="","",VLOOKUP(G332,REFERENCIA!$A$1:$B$14,2,0))</f>
        <v/>
      </c>
    </row>
    <row r="333" spans="8:8" x14ac:dyDescent="0.25">
      <c r="H333" t="str">
        <f>IF(G333="","",VLOOKUP(G333,REFERENCIA!$A$1:$B$14,2,0))</f>
        <v/>
      </c>
    </row>
    <row r="334" spans="8:8" x14ac:dyDescent="0.25">
      <c r="H334" t="str">
        <f>IF(G334="","",VLOOKUP(G334,REFERENCIA!$A$1:$B$14,2,0))</f>
        <v/>
      </c>
    </row>
    <row r="335" spans="8:8" x14ac:dyDescent="0.25">
      <c r="H335" t="str">
        <f>IF(G335="","",VLOOKUP(G335,REFERENCIA!$A$1:$B$14,2,0))</f>
        <v/>
      </c>
    </row>
    <row r="336" spans="8:8" x14ac:dyDescent="0.25">
      <c r="H336" t="str">
        <f>IF(G336="","",VLOOKUP(G336,REFERENCIA!$A$1:$B$14,2,0))</f>
        <v/>
      </c>
    </row>
    <row r="337" spans="8:8" x14ac:dyDescent="0.25">
      <c r="H337" t="str">
        <f>IF(G337="","",VLOOKUP(G337,REFERENCIA!$A$1:$B$14,2,0))</f>
        <v/>
      </c>
    </row>
    <row r="338" spans="8:8" x14ac:dyDescent="0.25">
      <c r="H338" t="str">
        <f>IF(G338="","",VLOOKUP(G338,REFERENCIA!$A$1:$B$14,2,0))</f>
        <v/>
      </c>
    </row>
    <row r="339" spans="8:8" x14ac:dyDescent="0.25">
      <c r="H339" t="str">
        <f>IF(G339="","",VLOOKUP(G339,REFERENCIA!$A$1:$B$14,2,0))</f>
        <v/>
      </c>
    </row>
    <row r="340" spans="8:8" x14ac:dyDescent="0.25">
      <c r="H340" t="str">
        <f>IF(G340="","",VLOOKUP(G340,REFERENCIA!$A$1:$B$14,2,0))</f>
        <v/>
      </c>
    </row>
    <row r="341" spans="8:8" x14ac:dyDescent="0.25">
      <c r="H341" t="str">
        <f>IF(G341="","",VLOOKUP(G341,REFERENCIA!$A$1:$B$14,2,0))</f>
        <v/>
      </c>
    </row>
    <row r="342" spans="8:8" x14ac:dyDescent="0.25">
      <c r="H342" t="str">
        <f>IF(G342="","",VLOOKUP(G342,REFERENCIA!$A$1:$B$14,2,0))</f>
        <v/>
      </c>
    </row>
    <row r="343" spans="8:8" x14ac:dyDescent="0.25">
      <c r="H343" t="str">
        <f>IF(G343="","",VLOOKUP(G343,REFERENCIA!$A$1:$B$14,2,0))</f>
        <v/>
      </c>
    </row>
    <row r="344" spans="8:8" x14ac:dyDescent="0.25">
      <c r="H344" t="str">
        <f>IF(G344="","",VLOOKUP(G344,REFERENCIA!$A$1:$B$14,2,0))</f>
        <v/>
      </c>
    </row>
    <row r="345" spans="8:8" x14ac:dyDescent="0.25">
      <c r="H345" t="str">
        <f>IF(G345="","",VLOOKUP(G345,REFERENCIA!$A$1:$B$14,2,0))</f>
        <v/>
      </c>
    </row>
    <row r="346" spans="8:8" x14ac:dyDescent="0.25">
      <c r="H346" t="str">
        <f>IF(G346="","",VLOOKUP(G346,REFERENCIA!$A$1:$B$14,2,0))</f>
        <v/>
      </c>
    </row>
    <row r="347" spans="8:8" x14ac:dyDescent="0.25">
      <c r="H347" t="str">
        <f>IF(G347="","",VLOOKUP(G347,REFERENCIA!$A$1:$B$14,2,0))</f>
        <v/>
      </c>
    </row>
    <row r="348" spans="8:8" x14ac:dyDescent="0.25">
      <c r="H348" t="str">
        <f>IF(G348="","",VLOOKUP(G348,REFERENCIA!$A$1:$B$14,2,0))</f>
        <v/>
      </c>
    </row>
    <row r="349" spans="8:8" x14ac:dyDescent="0.25">
      <c r="H349" t="str">
        <f>IF(G349="","",VLOOKUP(G349,REFERENCIA!$A$1:$B$14,2,0))</f>
        <v/>
      </c>
    </row>
    <row r="350" spans="8:8" x14ac:dyDescent="0.25">
      <c r="H350" t="str">
        <f>IF(G350="","",VLOOKUP(G350,REFERENCIA!$A$1:$B$14,2,0))</f>
        <v/>
      </c>
    </row>
    <row r="351" spans="8:8" x14ac:dyDescent="0.25">
      <c r="H351" t="str">
        <f>IF(G351="","",VLOOKUP(G351,REFERENCIA!$A$1:$B$14,2,0))</f>
        <v/>
      </c>
    </row>
    <row r="352" spans="8:8" x14ac:dyDescent="0.25">
      <c r="H352" t="str">
        <f>IF(G352="","",VLOOKUP(G352,REFERENCIA!$A$1:$B$14,2,0))</f>
        <v/>
      </c>
    </row>
    <row r="353" spans="8:8" x14ac:dyDescent="0.25">
      <c r="H353" t="str">
        <f>IF(G353="","",VLOOKUP(G353,REFERENCIA!$A$1:$B$14,2,0))</f>
        <v/>
      </c>
    </row>
    <row r="354" spans="8:8" x14ac:dyDescent="0.25">
      <c r="H354" t="str">
        <f>IF(G354="","",VLOOKUP(G354,REFERENCIA!$A$1:$B$14,2,0))</f>
        <v/>
      </c>
    </row>
    <row r="355" spans="8:8" x14ac:dyDescent="0.25">
      <c r="H355" t="str">
        <f>IF(G355="","",VLOOKUP(G355,REFERENCIA!$A$1:$B$14,2,0))</f>
        <v/>
      </c>
    </row>
    <row r="356" spans="8:8" x14ac:dyDescent="0.25">
      <c r="H356" t="str">
        <f>IF(G356="","",VLOOKUP(G356,REFERENCIA!$A$1:$B$14,2,0))</f>
        <v/>
      </c>
    </row>
    <row r="357" spans="8:8" x14ac:dyDescent="0.25">
      <c r="H357" t="str">
        <f>IF(G357="","",VLOOKUP(G357,REFERENCIA!$A$1:$B$14,2,0))</f>
        <v/>
      </c>
    </row>
    <row r="358" spans="8:8" x14ac:dyDescent="0.25">
      <c r="H358" t="str">
        <f>IF(G358="","",VLOOKUP(G358,REFERENCIA!$A$1:$B$14,2,0))</f>
        <v/>
      </c>
    </row>
    <row r="359" spans="8:8" x14ac:dyDescent="0.25">
      <c r="H359" t="str">
        <f>IF(G359="","",VLOOKUP(G359,REFERENCIA!$A$1:$B$14,2,0))</f>
        <v/>
      </c>
    </row>
    <row r="360" spans="8:8" x14ac:dyDescent="0.25">
      <c r="H360" t="str">
        <f>IF(G360="","",VLOOKUP(G360,REFERENCIA!$A$1:$B$14,2,0))</f>
        <v/>
      </c>
    </row>
    <row r="361" spans="8:8" x14ac:dyDescent="0.25">
      <c r="H361" t="str">
        <f>IF(G361="","",VLOOKUP(G361,REFERENCIA!$A$1:$B$14,2,0))</f>
        <v/>
      </c>
    </row>
    <row r="362" spans="8:8" x14ac:dyDescent="0.25">
      <c r="H362" t="str">
        <f>IF(G362="","",VLOOKUP(G362,REFERENCIA!$A$1:$B$14,2,0))</f>
        <v/>
      </c>
    </row>
    <row r="363" spans="8:8" x14ac:dyDescent="0.25">
      <c r="H363" t="str">
        <f>IF(G363="","",VLOOKUP(G363,REFERENCIA!$A$1:$B$14,2,0))</f>
        <v/>
      </c>
    </row>
    <row r="364" spans="8:8" x14ac:dyDescent="0.25">
      <c r="H364" t="str">
        <f>IF(G364="","",VLOOKUP(G364,REFERENCIA!$A$1:$B$14,2,0))</f>
        <v/>
      </c>
    </row>
    <row r="365" spans="8:8" x14ac:dyDescent="0.25">
      <c r="H365" t="str">
        <f>IF(G365="","",VLOOKUP(G365,REFERENCIA!$A$1:$B$14,2,0))</f>
        <v/>
      </c>
    </row>
    <row r="366" spans="8:8" x14ac:dyDescent="0.25">
      <c r="H366" t="str">
        <f>IF(G366="","",VLOOKUP(G366,REFERENCIA!$A$1:$B$14,2,0))</f>
        <v/>
      </c>
    </row>
    <row r="367" spans="8:8" x14ac:dyDescent="0.25">
      <c r="H367" t="str">
        <f>IF(G367="","",VLOOKUP(G367,REFERENCIA!$A$1:$B$14,2,0))</f>
        <v/>
      </c>
    </row>
    <row r="368" spans="8:8" x14ac:dyDescent="0.25">
      <c r="H368" t="str">
        <f>IF(G368="","",VLOOKUP(G368,REFERENCIA!$A$1:$B$14,2,0))</f>
        <v/>
      </c>
    </row>
    <row r="369" spans="8:8" x14ac:dyDescent="0.25">
      <c r="H369" t="str">
        <f>IF(G369="","",VLOOKUP(G369,REFERENCIA!$A$1:$B$14,2,0))</f>
        <v/>
      </c>
    </row>
    <row r="370" spans="8:8" x14ac:dyDescent="0.25">
      <c r="H370" t="str">
        <f>IF(G370="","",VLOOKUP(G370,REFERENCIA!$A$1:$B$14,2,0))</f>
        <v/>
      </c>
    </row>
    <row r="371" spans="8:8" x14ac:dyDescent="0.25">
      <c r="H371" t="str">
        <f>IF(G371="","",VLOOKUP(G371,REFERENCIA!$A$1:$B$14,2,0))</f>
        <v/>
      </c>
    </row>
    <row r="372" spans="8:8" x14ac:dyDescent="0.25">
      <c r="H372" t="str">
        <f>IF(G372="","",VLOOKUP(G372,REFERENCIA!$A$1:$B$14,2,0))</f>
        <v/>
      </c>
    </row>
    <row r="373" spans="8:8" x14ac:dyDescent="0.25">
      <c r="H373" t="str">
        <f>IF(G373="","",VLOOKUP(G373,REFERENCIA!$A$1:$B$14,2,0))</f>
        <v/>
      </c>
    </row>
    <row r="374" spans="8:8" x14ac:dyDescent="0.25">
      <c r="H374" t="str">
        <f>IF(G374="","",VLOOKUP(G374,REFERENCIA!$A$1:$B$14,2,0))</f>
        <v/>
      </c>
    </row>
    <row r="375" spans="8:8" x14ac:dyDescent="0.25">
      <c r="H375" t="str">
        <f>IF(G375="","",VLOOKUP(G375,REFERENCIA!$A$1:$B$14,2,0))</f>
        <v/>
      </c>
    </row>
    <row r="376" spans="8:8" x14ac:dyDescent="0.25">
      <c r="H376" t="str">
        <f>IF(G376="","",VLOOKUP(G376,REFERENCIA!$A$1:$B$14,2,0))</f>
        <v/>
      </c>
    </row>
    <row r="377" spans="8:8" x14ac:dyDescent="0.25">
      <c r="H377" t="str">
        <f>IF(G377="","",VLOOKUP(G377,REFERENCIA!$A$1:$B$14,2,0))</f>
        <v/>
      </c>
    </row>
    <row r="378" spans="8:8" x14ac:dyDescent="0.25">
      <c r="H378" t="str">
        <f>IF(G378="","",VLOOKUP(G378,REFERENCIA!$A$1:$B$14,2,0))</f>
        <v/>
      </c>
    </row>
    <row r="379" spans="8:8" x14ac:dyDescent="0.25">
      <c r="H379" t="str">
        <f>IF(G379="","",VLOOKUP(G379,REFERENCIA!$A$1:$B$14,2,0))</f>
        <v/>
      </c>
    </row>
    <row r="380" spans="8:8" x14ac:dyDescent="0.25">
      <c r="H380" t="str">
        <f>IF(G380="","",VLOOKUP(G380,REFERENCIA!$A$1:$B$14,2,0))</f>
        <v/>
      </c>
    </row>
    <row r="381" spans="8:8" x14ac:dyDescent="0.25">
      <c r="H381" t="str">
        <f>IF(G381="","",VLOOKUP(G381,REFERENCIA!$A$1:$B$14,2,0))</f>
        <v/>
      </c>
    </row>
    <row r="382" spans="8:8" x14ac:dyDescent="0.25">
      <c r="H382" t="str">
        <f>IF(G382="","",VLOOKUP(G382,REFERENCIA!$A$1:$B$14,2,0))</f>
        <v/>
      </c>
    </row>
    <row r="383" spans="8:8" x14ac:dyDescent="0.25">
      <c r="H383" t="str">
        <f>IF(G383="","",VLOOKUP(G383,REFERENCIA!$A$1:$B$14,2,0))</f>
        <v/>
      </c>
    </row>
    <row r="384" spans="8:8" x14ac:dyDescent="0.25">
      <c r="H384" t="str">
        <f>IF(G384="","",VLOOKUP(G384,REFERENCIA!$A$1:$B$14,2,0))</f>
        <v/>
      </c>
    </row>
    <row r="385" spans="8:8" x14ac:dyDescent="0.25">
      <c r="H385" t="str">
        <f>IF(G385="","",VLOOKUP(G385,REFERENCIA!$A$1:$B$14,2,0))</f>
        <v/>
      </c>
    </row>
    <row r="386" spans="8:8" x14ac:dyDescent="0.25">
      <c r="H386" t="str">
        <f>IF(G386="","",VLOOKUP(G386,REFERENCIA!$A$1:$B$14,2,0))</f>
        <v/>
      </c>
    </row>
    <row r="387" spans="8:8" x14ac:dyDescent="0.25">
      <c r="H387" t="str">
        <f>IF(G387="","",VLOOKUP(G387,REFERENCIA!$A$1:$B$14,2,0))</f>
        <v/>
      </c>
    </row>
    <row r="388" spans="8:8" x14ac:dyDescent="0.25">
      <c r="H388" t="str">
        <f>IF(G388="","",VLOOKUP(G388,REFERENCIA!$A$1:$B$14,2,0))</f>
        <v/>
      </c>
    </row>
    <row r="389" spans="8:8" x14ac:dyDescent="0.25">
      <c r="H389" t="str">
        <f>IF(G389="","",VLOOKUP(G389,REFERENCIA!$A$1:$B$14,2,0))</f>
        <v/>
      </c>
    </row>
    <row r="390" spans="8:8" x14ac:dyDescent="0.25">
      <c r="H390" t="str">
        <f>IF(G390="","",VLOOKUP(G390,REFERENCIA!$A$1:$B$14,2,0))</f>
        <v/>
      </c>
    </row>
    <row r="391" spans="8:8" x14ac:dyDescent="0.25">
      <c r="H391" t="str">
        <f>IF(G391="","",VLOOKUP(G391,REFERENCIA!$A$1:$B$14,2,0))</f>
        <v/>
      </c>
    </row>
    <row r="392" spans="8:8" x14ac:dyDescent="0.25">
      <c r="H392" t="str">
        <f>IF(G392="","",VLOOKUP(G392,REFERENCIA!$A$1:$B$14,2,0))</f>
        <v/>
      </c>
    </row>
    <row r="393" spans="8:8" x14ac:dyDescent="0.25">
      <c r="H393" t="str">
        <f>IF(G393="","",VLOOKUP(G393,REFERENCIA!$A$1:$B$14,2,0))</f>
        <v/>
      </c>
    </row>
    <row r="394" spans="8:8" x14ac:dyDescent="0.25">
      <c r="H394" t="str">
        <f>IF(G394="","",VLOOKUP(G394,REFERENCIA!$A$1:$B$14,2,0))</f>
        <v/>
      </c>
    </row>
    <row r="395" spans="8:8" x14ac:dyDescent="0.25">
      <c r="H395" t="str">
        <f>IF(G395="","",VLOOKUP(G395,REFERENCIA!$A$1:$B$14,2,0))</f>
        <v/>
      </c>
    </row>
    <row r="396" spans="8:8" x14ac:dyDescent="0.25">
      <c r="H396" t="str">
        <f>IF(G396="","",VLOOKUP(G396,REFERENCIA!$A$1:$B$14,2,0))</f>
        <v/>
      </c>
    </row>
    <row r="397" spans="8:8" x14ac:dyDescent="0.25">
      <c r="H397" t="str">
        <f>IF(G397="","",VLOOKUP(G397,REFERENCIA!$A$1:$B$14,2,0))</f>
        <v/>
      </c>
    </row>
    <row r="398" spans="8:8" x14ac:dyDescent="0.25">
      <c r="H398" t="str">
        <f>IF(G398="","",VLOOKUP(G398,REFERENCIA!$A$1:$B$14,2,0))</f>
        <v/>
      </c>
    </row>
    <row r="399" spans="8:8" x14ac:dyDescent="0.25">
      <c r="H399" t="str">
        <f>IF(G399="","",VLOOKUP(G399,REFERENCIA!$A$1:$B$14,2,0))</f>
        <v/>
      </c>
    </row>
    <row r="400" spans="8:8" x14ac:dyDescent="0.25">
      <c r="H400" t="str">
        <f>IF(G400="","",VLOOKUP(G400,REFERENCIA!$A$1:$B$14,2,0))</f>
        <v/>
      </c>
    </row>
    <row r="401" spans="8:8" x14ac:dyDescent="0.25">
      <c r="H401" t="str">
        <f>IF(G401="","",VLOOKUP(G401,REFERENCIA!$A$1:$B$14,2,0))</f>
        <v/>
      </c>
    </row>
    <row r="402" spans="8:8" x14ac:dyDescent="0.25">
      <c r="H402" t="str">
        <f>IF(G402="","",VLOOKUP(G402,REFERENCIA!$A$1:$B$14,2,0))</f>
        <v/>
      </c>
    </row>
    <row r="403" spans="8:8" x14ac:dyDescent="0.25">
      <c r="H403" t="str">
        <f>IF(G403="","",VLOOKUP(G403,REFERENCIA!$A$1:$B$14,2,0))</f>
        <v/>
      </c>
    </row>
    <row r="404" spans="8:8" x14ac:dyDescent="0.25">
      <c r="H404" t="str">
        <f>IF(G404="","",VLOOKUP(G404,REFERENCIA!$A$1:$B$14,2,0))</f>
        <v/>
      </c>
    </row>
    <row r="405" spans="8:8" x14ac:dyDescent="0.25">
      <c r="H405" t="str">
        <f>IF(G405="","",VLOOKUP(G405,REFERENCIA!$A$1:$B$14,2,0))</f>
        <v/>
      </c>
    </row>
    <row r="406" spans="8:8" x14ac:dyDescent="0.25">
      <c r="H406" t="str">
        <f>IF(G406="","",VLOOKUP(G406,REFERENCIA!$A$1:$B$14,2,0))</f>
        <v/>
      </c>
    </row>
    <row r="407" spans="8:8" x14ac:dyDescent="0.25">
      <c r="H407" t="str">
        <f>IF(G407="","",VLOOKUP(G407,REFERENCIA!$A$1:$B$14,2,0))</f>
        <v/>
      </c>
    </row>
    <row r="408" spans="8:8" x14ac:dyDescent="0.25">
      <c r="H408" t="str">
        <f>IF(G408="","",VLOOKUP(G408,REFERENCIA!$A$1:$B$14,2,0))</f>
        <v/>
      </c>
    </row>
    <row r="409" spans="8:8" x14ac:dyDescent="0.25">
      <c r="H409" t="str">
        <f>IF(G409="","",VLOOKUP(G409,REFERENCIA!$A$1:$B$14,2,0))</f>
        <v/>
      </c>
    </row>
    <row r="410" spans="8:8" x14ac:dyDescent="0.25">
      <c r="H410" t="str">
        <f>IF(G410="","",VLOOKUP(G410,REFERENCIA!$A$1:$B$14,2,0))</f>
        <v/>
      </c>
    </row>
    <row r="411" spans="8:8" x14ac:dyDescent="0.25">
      <c r="H411" t="str">
        <f>IF(G411="","",VLOOKUP(G411,REFERENCIA!$A$1:$B$14,2,0))</f>
        <v/>
      </c>
    </row>
    <row r="412" spans="8:8" x14ac:dyDescent="0.25">
      <c r="H412" t="str">
        <f>IF(G412="","",VLOOKUP(G412,REFERENCIA!$A$1:$B$14,2,0))</f>
        <v/>
      </c>
    </row>
    <row r="413" spans="8:8" x14ac:dyDescent="0.25">
      <c r="H413" t="str">
        <f>IF(G413="","",VLOOKUP(G413,REFERENCIA!$A$1:$B$14,2,0))</f>
        <v/>
      </c>
    </row>
    <row r="414" spans="8:8" x14ac:dyDescent="0.25">
      <c r="H414" t="str">
        <f>IF(G414="","",VLOOKUP(G414,REFERENCIA!$A$1:$B$14,2,0))</f>
        <v/>
      </c>
    </row>
    <row r="415" spans="8:8" x14ac:dyDescent="0.25">
      <c r="H415" t="str">
        <f>IF(G415="","",VLOOKUP(G415,REFERENCIA!$A$1:$B$14,2,0))</f>
        <v/>
      </c>
    </row>
    <row r="416" spans="8:8" x14ac:dyDescent="0.25">
      <c r="H416" t="str">
        <f>IF(G416="","",VLOOKUP(G416,REFERENCIA!$A$1:$B$14,2,0))</f>
        <v/>
      </c>
    </row>
    <row r="417" spans="8:8" x14ac:dyDescent="0.25">
      <c r="H417" t="str">
        <f>IF(G417="","",VLOOKUP(G417,REFERENCIA!$A$1:$B$14,2,0))</f>
        <v/>
      </c>
    </row>
    <row r="418" spans="8:8" x14ac:dyDescent="0.25">
      <c r="H418" t="str">
        <f>IF(G418="","",VLOOKUP(G418,REFERENCIA!$A$1:$B$14,2,0))</f>
        <v/>
      </c>
    </row>
    <row r="419" spans="8:8" x14ac:dyDescent="0.25">
      <c r="H419" t="str">
        <f>IF(G419="","",VLOOKUP(G419,REFERENCIA!$A$1:$B$14,2,0))</f>
        <v/>
      </c>
    </row>
    <row r="420" spans="8:8" x14ac:dyDescent="0.25">
      <c r="H420" t="str">
        <f>IF(G420="","",VLOOKUP(G420,REFERENCIA!$A$1:$B$14,2,0))</f>
        <v/>
      </c>
    </row>
    <row r="421" spans="8:8" x14ac:dyDescent="0.25">
      <c r="H421" t="str">
        <f>IF(G421="","",VLOOKUP(G421,REFERENCIA!$A$1:$B$14,2,0))</f>
        <v/>
      </c>
    </row>
    <row r="422" spans="8:8" x14ac:dyDescent="0.25">
      <c r="H422" t="str">
        <f>IF(G422="","",VLOOKUP(G422,REFERENCIA!$A$1:$B$14,2,0))</f>
        <v/>
      </c>
    </row>
    <row r="423" spans="8:8" x14ac:dyDescent="0.25">
      <c r="H423" t="str">
        <f>IF(G423="","",VLOOKUP(G423,REFERENCIA!$A$1:$B$14,2,0))</f>
        <v/>
      </c>
    </row>
    <row r="424" spans="8:8" x14ac:dyDescent="0.25">
      <c r="H424" t="str">
        <f>IF(G424="","",VLOOKUP(G424,REFERENCIA!$A$1:$B$14,2,0))</f>
        <v/>
      </c>
    </row>
    <row r="425" spans="8:8" x14ac:dyDescent="0.25">
      <c r="H425" t="str">
        <f>IF(G425="","",VLOOKUP(G425,REFERENCIA!$A$1:$B$14,2,0))</f>
        <v/>
      </c>
    </row>
    <row r="426" spans="8:8" x14ac:dyDescent="0.25">
      <c r="H426" t="str">
        <f>IF(G426="","",VLOOKUP(G426,REFERENCIA!$A$1:$B$14,2,0))</f>
        <v/>
      </c>
    </row>
    <row r="427" spans="8:8" x14ac:dyDescent="0.25">
      <c r="H427" t="str">
        <f>IF(G427="","",VLOOKUP(G427,REFERENCIA!$A$1:$B$14,2,0))</f>
        <v/>
      </c>
    </row>
    <row r="428" spans="8:8" x14ac:dyDescent="0.25">
      <c r="H428" t="str">
        <f>IF(G428="","",VLOOKUP(G428,REFERENCIA!$A$1:$B$14,2,0))</f>
        <v/>
      </c>
    </row>
    <row r="429" spans="8:8" x14ac:dyDescent="0.25">
      <c r="H429" t="str">
        <f>IF(G429="","",VLOOKUP(G429,REFERENCIA!$A$1:$B$14,2,0))</f>
        <v/>
      </c>
    </row>
    <row r="430" spans="8:8" x14ac:dyDescent="0.25">
      <c r="H430" t="str">
        <f>IF(G430="","",VLOOKUP(G430,REFERENCIA!$A$1:$B$14,2,0))</f>
        <v/>
      </c>
    </row>
    <row r="431" spans="8:8" x14ac:dyDescent="0.25">
      <c r="H431" t="str">
        <f>IF(G431="","",VLOOKUP(G431,REFERENCIA!$A$1:$B$14,2,0))</f>
        <v/>
      </c>
    </row>
    <row r="432" spans="8:8" x14ac:dyDescent="0.25">
      <c r="H432" t="str">
        <f>IF(G432="","",VLOOKUP(G432,REFERENCIA!$A$1:$B$14,2,0))</f>
        <v/>
      </c>
    </row>
    <row r="433" spans="8:8" x14ac:dyDescent="0.25">
      <c r="H433" t="str">
        <f>IF(G433="","",VLOOKUP(G433,REFERENCIA!$A$1:$B$14,2,0))</f>
        <v/>
      </c>
    </row>
    <row r="434" spans="8:8" x14ac:dyDescent="0.25">
      <c r="H434" t="str">
        <f>IF(G434="","",VLOOKUP(G434,REFERENCIA!$A$1:$B$14,2,0))</f>
        <v/>
      </c>
    </row>
    <row r="435" spans="8:8" x14ac:dyDescent="0.25">
      <c r="H435" t="str">
        <f>IF(G435="","",VLOOKUP(G435,REFERENCIA!$A$1:$B$14,2,0))</f>
        <v/>
      </c>
    </row>
    <row r="436" spans="8:8" x14ac:dyDescent="0.25">
      <c r="H436" t="str">
        <f>IF(G436="","",VLOOKUP(G436,REFERENCIA!$A$1:$B$14,2,0))</f>
        <v/>
      </c>
    </row>
    <row r="437" spans="8:8" x14ac:dyDescent="0.25">
      <c r="H437" t="str">
        <f>IF(G437="","",VLOOKUP(G437,REFERENCIA!$A$1:$B$14,2,0))</f>
        <v/>
      </c>
    </row>
    <row r="438" spans="8:8" x14ac:dyDescent="0.25">
      <c r="H438" t="str">
        <f>IF(G438="","",VLOOKUP(G438,REFERENCIA!$A$1:$B$14,2,0))</f>
        <v/>
      </c>
    </row>
    <row r="439" spans="8:8" x14ac:dyDescent="0.25">
      <c r="H439" t="str">
        <f>IF(G439="","",VLOOKUP(G439,REFERENCIA!$A$1:$B$14,2,0))</f>
        <v/>
      </c>
    </row>
    <row r="440" spans="8:8" x14ac:dyDescent="0.25">
      <c r="H440" t="str">
        <f>IF(G440="","",VLOOKUP(G440,REFERENCIA!$A$1:$B$14,2,0))</f>
        <v/>
      </c>
    </row>
    <row r="441" spans="8:8" x14ac:dyDescent="0.25">
      <c r="H441" t="str">
        <f>IF(G441="","",VLOOKUP(G441,REFERENCIA!$A$1:$B$14,2,0))</f>
        <v/>
      </c>
    </row>
    <row r="442" spans="8:8" x14ac:dyDescent="0.25">
      <c r="H442" t="str">
        <f>IF(G442="","",VLOOKUP(G442,REFERENCIA!$A$1:$B$14,2,0))</f>
        <v/>
      </c>
    </row>
    <row r="443" spans="8:8" x14ac:dyDescent="0.25">
      <c r="H443" t="str">
        <f>IF(G443="","",VLOOKUP(G443,REFERENCIA!$A$1:$B$14,2,0))</f>
        <v/>
      </c>
    </row>
    <row r="444" spans="8:8" x14ac:dyDescent="0.25">
      <c r="H444" t="str">
        <f>IF(G444="","",VLOOKUP(G444,REFERENCIA!$A$1:$B$14,2,0))</f>
        <v/>
      </c>
    </row>
    <row r="445" spans="8:8" x14ac:dyDescent="0.25">
      <c r="H445" t="str">
        <f>IF(G445="","",VLOOKUP(G445,REFERENCIA!$A$1:$B$14,2,0))</f>
        <v/>
      </c>
    </row>
    <row r="446" spans="8:8" x14ac:dyDescent="0.25">
      <c r="H446" t="str">
        <f>IF(G446="","",VLOOKUP(G446,REFERENCIA!$A$1:$B$14,2,0))</f>
        <v/>
      </c>
    </row>
    <row r="447" spans="8:8" x14ac:dyDescent="0.25">
      <c r="H447" t="str">
        <f>IF(G447="","",VLOOKUP(G447,REFERENCIA!$A$1:$B$14,2,0))</f>
        <v/>
      </c>
    </row>
    <row r="448" spans="8:8" x14ac:dyDescent="0.25">
      <c r="H448" t="str">
        <f>IF(G448="","",VLOOKUP(G448,REFERENCIA!$A$1:$B$14,2,0))</f>
        <v/>
      </c>
    </row>
    <row r="449" spans="8:8" x14ac:dyDescent="0.25">
      <c r="H449" t="str">
        <f>IF(G449="","",VLOOKUP(G449,REFERENCIA!$A$1:$B$14,2,0))</f>
        <v/>
      </c>
    </row>
    <row r="450" spans="8:8" x14ac:dyDescent="0.25">
      <c r="H450" t="str">
        <f>IF(G450="","",VLOOKUP(G450,REFERENCIA!$A$1:$B$14,2,0))</f>
        <v/>
      </c>
    </row>
    <row r="451" spans="8:8" x14ac:dyDescent="0.25">
      <c r="H451" t="str">
        <f>IF(G451="","",VLOOKUP(G451,REFERENCIA!$A$1:$B$14,2,0))</f>
        <v/>
      </c>
    </row>
    <row r="452" spans="8:8" x14ac:dyDescent="0.25">
      <c r="H452" t="str">
        <f>IF(G452="","",VLOOKUP(G452,REFERENCIA!$A$1:$B$14,2,0))</f>
        <v/>
      </c>
    </row>
    <row r="453" spans="8:8" x14ac:dyDescent="0.25">
      <c r="H453" t="str">
        <f>IF(G453="","",VLOOKUP(G453,REFERENCIA!$A$1:$B$14,2,0))</f>
        <v/>
      </c>
    </row>
    <row r="454" spans="8:8" x14ac:dyDescent="0.25">
      <c r="H454" t="str">
        <f>IF(G454="","",VLOOKUP(G454,REFERENCIA!$A$1:$B$14,2,0))</f>
        <v/>
      </c>
    </row>
    <row r="455" spans="8:8" x14ac:dyDescent="0.25">
      <c r="H455" t="str">
        <f>IF(G455="","",VLOOKUP(G455,REFERENCIA!$A$1:$B$14,2,0))</f>
        <v/>
      </c>
    </row>
    <row r="456" spans="8:8" x14ac:dyDescent="0.25">
      <c r="H456" t="str">
        <f>IF(G456="","",VLOOKUP(G456,REFERENCIA!$A$1:$B$14,2,0))</f>
        <v/>
      </c>
    </row>
    <row r="457" spans="8:8" x14ac:dyDescent="0.25">
      <c r="H457" t="str">
        <f>IF(G457="","",VLOOKUP(G457,REFERENCIA!$A$1:$B$14,2,0))</f>
        <v/>
      </c>
    </row>
    <row r="458" spans="8:8" x14ac:dyDescent="0.25">
      <c r="H458" t="str">
        <f>IF(G458="","",VLOOKUP(G458,REFERENCIA!$A$1:$B$14,2,0))</f>
        <v/>
      </c>
    </row>
    <row r="459" spans="8:8" x14ac:dyDescent="0.25">
      <c r="H459" t="str">
        <f>IF(G459="","",VLOOKUP(G459,REFERENCIA!$A$1:$B$14,2,0))</f>
        <v/>
      </c>
    </row>
    <row r="460" spans="8:8" x14ac:dyDescent="0.25">
      <c r="H460" t="str">
        <f>IF(G460="","",VLOOKUP(G460,REFERENCIA!$A$1:$B$14,2,0))</f>
        <v/>
      </c>
    </row>
    <row r="461" spans="8:8" x14ac:dyDescent="0.25">
      <c r="H461" t="str">
        <f>IF(G461="","",VLOOKUP(G461,REFERENCIA!$A$1:$B$14,2,0))</f>
        <v/>
      </c>
    </row>
    <row r="462" spans="8:8" x14ac:dyDescent="0.25">
      <c r="H462" t="str">
        <f>IF(G462="","",VLOOKUP(G462,REFERENCIA!$A$1:$B$14,2,0))</f>
        <v/>
      </c>
    </row>
    <row r="463" spans="8:8" x14ac:dyDescent="0.25">
      <c r="H463" t="str">
        <f>IF(G463="","",VLOOKUP(G463,REFERENCIA!$A$1:$B$14,2,0))</f>
        <v/>
      </c>
    </row>
    <row r="464" spans="8:8" x14ac:dyDescent="0.25">
      <c r="H464" t="str">
        <f>IF(G464="","",VLOOKUP(G464,REFERENCIA!$A$1:$B$14,2,0))</f>
        <v/>
      </c>
    </row>
    <row r="465" spans="8:8" x14ac:dyDescent="0.25">
      <c r="H465" t="str">
        <f>IF(G465="","",VLOOKUP(G465,REFERENCIA!$A$1:$B$14,2,0))</f>
        <v/>
      </c>
    </row>
    <row r="466" spans="8:8" x14ac:dyDescent="0.25">
      <c r="H466" t="str">
        <f>IF(G466="","",VLOOKUP(G466,REFERENCIA!$A$1:$B$14,2,0))</f>
        <v/>
      </c>
    </row>
    <row r="467" spans="8:8" x14ac:dyDescent="0.25">
      <c r="H467" t="str">
        <f>IF(G467="","",VLOOKUP(G467,REFERENCIA!$A$1:$B$14,2,0))</f>
        <v/>
      </c>
    </row>
    <row r="468" spans="8:8" x14ac:dyDescent="0.25">
      <c r="H468" t="str">
        <f>IF(G468="","",VLOOKUP(G468,REFERENCIA!$A$1:$B$14,2,0))</f>
        <v/>
      </c>
    </row>
    <row r="469" spans="8:8" x14ac:dyDescent="0.25">
      <c r="H469" t="str">
        <f>IF(G469="","",VLOOKUP(G469,REFERENCIA!$A$1:$B$14,2,0))</f>
        <v/>
      </c>
    </row>
    <row r="470" spans="8:8" x14ac:dyDescent="0.25">
      <c r="H470" t="str">
        <f>IF(G470="","",VLOOKUP(G470,REFERENCIA!$A$1:$B$14,2,0))</f>
        <v/>
      </c>
    </row>
    <row r="471" spans="8:8" x14ac:dyDescent="0.25">
      <c r="H471" t="str">
        <f>IF(G471="","",VLOOKUP(G471,REFERENCIA!$A$1:$B$14,2,0))</f>
        <v/>
      </c>
    </row>
    <row r="472" spans="8:8" x14ac:dyDescent="0.25">
      <c r="H472" t="str">
        <f>IF(G472="","",VLOOKUP(G472,REFERENCIA!$A$1:$B$14,2,0))</f>
        <v/>
      </c>
    </row>
    <row r="473" spans="8:8" x14ac:dyDescent="0.25">
      <c r="H473" t="str">
        <f>IF(G473="","",VLOOKUP(G473,REFERENCIA!$A$1:$B$14,2,0))</f>
        <v/>
      </c>
    </row>
    <row r="474" spans="8:8" x14ac:dyDescent="0.25">
      <c r="H474" t="str">
        <f>IF(G474="","",VLOOKUP(G474,REFERENCIA!$A$1:$B$14,2,0))</f>
        <v/>
      </c>
    </row>
    <row r="475" spans="8:8" x14ac:dyDescent="0.25">
      <c r="H475" t="str">
        <f>IF(G475="","",VLOOKUP(G475,REFERENCIA!$A$1:$B$14,2,0))</f>
        <v/>
      </c>
    </row>
    <row r="476" spans="8:8" x14ac:dyDescent="0.25">
      <c r="H476" t="str">
        <f>IF(G476="","",VLOOKUP(G476,REFERENCIA!$A$1:$B$14,2,0))</f>
        <v/>
      </c>
    </row>
    <row r="477" spans="8:8" x14ac:dyDescent="0.25">
      <c r="H477" t="str">
        <f>IF(G477="","",VLOOKUP(G477,REFERENCIA!$A$1:$B$14,2,0))</f>
        <v/>
      </c>
    </row>
    <row r="478" spans="8:8" x14ac:dyDescent="0.25">
      <c r="H478" t="str">
        <f>IF(G478="","",VLOOKUP(G478,REFERENCIA!$A$1:$B$14,2,0))</f>
        <v/>
      </c>
    </row>
    <row r="479" spans="8:8" x14ac:dyDescent="0.25">
      <c r="H479" t="str">
        <f>IF(G479="","",VLOOKUP(G479,REFERENCIA!$A$1:$B$14,2,0))</f>
        <v/>
      </c>
    </row>
    <row r="480" spans="8:8" x14ac:dyDescent="0.25">
      <c r="H480" t="str">
        <f>IF(G480="","",VLOOKUP(G480,REFERENCIA!$A$1:$B$14,2,0))</f>
        <v/>
      </c>
    </row>
    <row r="481" spans="8:8" x14ac:dyDescent="0.25">
      <c r="H481" t="str">
        <f>IF(G481="","",VLOOKUP(G481,REFERENCIA!$A$1:$B$14,2,0))</f>
        <v/>
      </c>
    </row>
    <row r="482" spans="8:8" x14ac:dyDescent="0.25">
      <c r="H482" t="str">
        <f>IF(G482="","",VLOOKUP(G482,REFERENCIA!$A$1:$B$14,2,0))</f>
        <v/>
      </c>
    </row>
    <row r="483" spans="8:8" x14ac:dyDescent="0.25">
      <c r="H483" t="str">
        <f>IF(G483="","",VLOOKUP(G483,REFERENCIA!$A$1:$B$14,2,0))</f>
        <v/>
      </c>
    </row>
    <row r="484" spans="8:8" x14ac:dyDescent="0.25">
      <c r="H484" t="str">
        <f>IF(G484="","",VLOOKUP(G484,REFERENCIA!$A$1:$B$14,2,0))</f>
        <v/>
      </c>
    </row>
    <row r="485" spans="8:8" x14ac:dyDescent="0.25">
      <c r="H485" t="str">
        <f>IF(G485="","",VLOOKUP(G485,REFERENCIA!$A$1:$B$14,2,0))</f>
        <v/>
      </c>
    </row>
    <row r="486" spans="8:8" x14ac:dyDescent="0.25">
      <c r="H486" t="str">
        <f>IF(G486="","",VLOOKUP(G486,REFERENCIA!$A$1:$B$14,2,0))</f>
        <v/>
      </c>
    </row>
    <row r="487" spans="8:8" x14ac:dyDescent="0.25">
      <c r="H487" t="str">
        <f>IF(G487="","",VLOOKUP(G487,REFERENCIA!$A$1:$B$14,2,0))</f>
        <v/>
      </c>
    </row>
    <row r="488" spans="8:8" x14ac:dyDescent="0.25">
      <c r="H488" t="str">
        <f>IF(G488="","",VLOOKUP(G488,REFERENCIA!$A$1:$B$14,2,0))</f>
        <v/>
      </c>
    </row>
    <row r="489" spans="8:8" x14ac:dyDescent="0.25">
      <c r="H489" t="str">
        <f>IF(G489="","",VLOOKUP(G489,REFERENCIA!$A$1:$B$14,2,0))</f>
        <v/>
      </c>
    </row>
    <row r="490" spans="8:8" x14ac:dyDescent="0.25">
      <c r="H490" t="str">
        <f>IF(G490="","",VLOOKUP(G490,REFERENCIA!$A$1:$B$14,2,0))</f>
        <v/>
      </c>
    </row>
    <row r="491" spans="8:8" x14ac:dyDescent="0.25">
      <c r="H491" t="str">
        <f>IF(G491="","",VLOOKUP(G491,REFERENCIA!$A$1:$B$14,2,0))</f>
        <v/>
      </c>
    </row>
    <row r="492" spans="8:8" x14ac:dyDescent="0.25">
      <c r="H492" t="str">
        <f>IF(G492="","",VLOOKUP(G492,REFERENCIA!$A$1:$B$14,2,0))</f>
        <v/>
      </c>
    </row>
    <row r="493" spans="8:8" x14ac:dyDescent="0.25">
      <c r="H493" t="str">
        <f>IF(G493="","",VLOOKUP(G493,REFERENCIA!$A$1:$B$14,2,0))</f>
        <v/>
      </c>
    </row>
    <row r="494" spans="8:8" x14ac:dyDescent="0.25">
      <c r="H494" t="str">
        <f>IF(G494="","",VLOOKUP(G494,REFERENCIA!$A$1:$B$14,2,0))</f>
        <v/>
      </c>
    </row>
    <row r="495" spans="8:8" x14ac:dyDescent="0.25">
      <c r="H495" t="str">
        <f>IF(G495="","",VLOOKUP(G495,REFERENCIA!$A$1:$B$14,2,0))</f>
        <v/>
      </c>
    </row>
    <row r="496" spans="8:8" x14ac:dyDescent="0.25">
      <c r="H496" t="str">
        <f>IF(G496="","",VLOOKUP(G496,REFERENCIA!$A$1:$B$14,2,0))</f>
        <v/>
      </c>
    </row>
    <row r="497" spans="8:8" x14ac:dyDescent="0.25">
      <c r="H497" t="str">
        <f>IF(G497="","",VLOOKUP(G497,REFERENCIA!$A$1:$B$14,2,0))</f>
        <v/>
      </c>
    </row>
    <row r="498" spans="8:8" x14ac:dyDescent="0.25">
      <c r="H498" t="str">
        <f>IF(G498="","",VLOOKUP(G498,REFERENCIA!$A$1:$B$14,2,0))</f>
        <v/>
      </c>
    </row>
    <row r="499" spans="8:8" x14ac:dyDescent="0.25">
      <c r="H499" t="str">
        <f>IF(G499="","",VLOOKUP(G499,REFERENCIA!$A$1:$B$14,2,0))</f>
        <v/>
      </c>
    </row>
    <row r="500" spans="8:8" x14ac:dyDescent="0.25">
      <c r="H500" t="str">
        <f>IF(G500="","",VLOOKUP(G500,REFERENCIA!$A$1:$B$14,2,0))</f>
        <v/>
      </c>
    </row>
  </sheetData>
  <conditionalFormatting sqref="B33:B34">
    <cfRule type="duplicateValues" dxfId="3" priority="7"/>
    <cfRule type="duplicateValues" dxfId="2" priority="8"/>
  </conditionalFormatting>
  <conditionalFormatting sqref="C33:C34">
    <cfRule type="duplicateValues" dxfId="1" priority="3"/>
    <cfRule type="duplicateValues" dxfId="0" priority="4"/>
  </conditionalFormatting>
  <dataValidations count="1">
    <dataValidation type="custom" allowBlank="1" showInputMessage="1" showErrorMessage="1" sqref="B33:C42 B17:C17 C23 C12" xr:uid="{DD62D525-11D8-49CA-867B-F675E4468EAC}">
      <formula1>22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A23F-25BB-4234-8337-3463AF2CD81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11</v>
      </c>
    </row>
    <row r="3" spans="1:2" x14ac:dyDescent="0.25">
      <c r="A3" t="s">
        <v>13</v>
      </c>
      <c r="B3" t="s">
        <v>11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15</v>
      </c>
    </row>
    <row r="6" spans="1:2" x14ac:dyDescent="0.25">
      <c r="A6" t="s">
        <v>17</v>
      </c>
      <c r="B6" t="s">
        <v>15</v>
      </c>
    </row>
    <row r="7" spans="1:2" x14ac:dyDescent="0.25">
      <c r="A7" t="s">
        <v>18</v>
      </c>
      <c r="B7" t="s">
        <v>15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20</v>
      </c>
    </row>
    <row r="10" spans="1:2" x14ac:dyDescent="0.25">
      <c r="A10" t="s">
        <v>22</v>
      </c>
      <c r="B10" t="s">
        <v>20</v>
      </c>
    </row>
    <row r="11" spans="1:2" x14ac:dyDescent="0.25">
      <c r="A11" t="s">
        <v>23</v>
      </c>
      <c r="B11" t="s">
        <v>20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25</v>
      </c>
    </row>
    <row r="14" spans="1:2" x14ac:dyDescent="0.2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Monitores 123456</cp:lastModifiedBy>
  <dcterms:created xsi:type="dcterms:W3CDTF">2026-04-24T19:53:18Z</dcterms:created>
  <dcterms:modified xsi:type="dcterms:W3CDTF">2026-04-25T17:31:36Z</dcterms:modified>
</cp:coreProperties>
</file>