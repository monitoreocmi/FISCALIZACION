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7056" yWindow="1260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/>
    </xf>
    <xf numFmtId="14" fontId="4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center"/>
    </xf>
    <xf numFmtId="0" fontId="0" fillId="0" borderId="1" pivotButton="0" quotePrefix="0" xfId="0"/>
    <xf numFmtId="14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31" zoomScale="90" zoomScaleNormal="90" workbookViewId="0">
      <selection activeCell="J40" sqref="J40"/>
    </sheetView>
  </sheetViews>
  <sheetFormatPr baseColWidth="10" defaultColWidth="8.77734375" defaultRowHeight="14.4"/>
  <cols>
    <col width="15" customWidth="1" min="1" max="1"/>
    <col width="41.44140625" customWidth="1" min="2" max="2"/>
    <col width="12" customWidth="1" min="3" max="4"/>
    <col width="18" customWidth="1" min="5" max="6"/>
    <col width="51.6640625" customWidth="1" min="7" max="7"/>
    <col width="15" customWidth="1" min="8" max="8"/>
    <col width="30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8.8" customHeight="1">
      <c r="A2" s="2" t="inlineStr">
        <is>
          <t>CASTAÑO</t>
        </is>
      </c>
      <c r="B2" s="4" t="inlineStr">
        <is>
          <t>INDUSTRIAS LACTEAS VENEZOLANAS, C.A. (PARMALAT)</t>
        </is>
      </c>
      <c r="C2" s="9" t="n">
        <v>6200009978</v>
      </c>
      <c r="D2" s="15" t="n">
        <v>46083</v>
      </c>
      <c r="E2" s="16" t="inlineStr">
        <is>
          <t>RECEPCIÓN</t>
        </is>
      </c>
      <c r="F2" s="10" t="inlineStr">
        <is>
          <t xml:space="preserve">FERNANDO CABRERA </t>
        </is>
      </c>
      <c r="G2" s="20" t="inlineStr">
        <is>
          <t>PRODUCTO O SKU NO PERTENECE A LA RECEPCIÓN.</t>
        </is>
      </c>
      <c r="H2" s="20">
        <f>IF(G2="","",VLOOKUP(G2,REFERENCIA!$A$1:$B$14,2,0))</f>
        <v/>
      </c>
      <c r="I2" s="10" t="inlineStr">
        <is>
          <t>ERROR AL CARGAR SKU</t>
        </is>
      </c>
      <c r="J2" s="14" t="n">
        <v>17.07</v>
      </c>
    </row>
    <row r="3">
      <c r="A3" s="2" t="inlineStr">
        <is>
          <t>BARQUISIMETO</t>
        </is>
      </c>
      <c r="B3" s="4" t="inlineStr">
        <is>
          <t>ROMA, C.A.</t>
        </is>
      </c>
      <c r="C3" s="10" t="n">
        <v>253388</v>
      </c>
      <c r="D3" s="18" t="n">
        <v>46083</v>
      </c>
      <c r="E3" s="19" t="inlineStr">
        <is>
          <t>RECEPCIÓN</t>
        </is>
      </c>
      <c r="F3" s="10" t="inlineStr">
        <is>
          <t>RUBER RAMOS</t>
        </is>
      </c>
      <c r="G3" s="20" t="inlineStr">
        <is>
          <t>NÚMERO DE CONTROL O DOCUMENTO ERRÓNEO.</t>
        </is>
      </c>
      <c r="H3" s="20">
        <f>IF(G3="","",VLOOKUP(G3,REFERENCIA!$A$1:$B$14,2,0))</f>
        <v/>
      </c>
      <c r="I3" s="10" t="inlineStr">
        <is>
          <t>NRO DE FACTURA ERRONEO</t>
        </is>
      </c>
      <c r="J3" s="10" t="n"/>
    </row>
    <row r="4">
      <c r="A4" s="2" t="inlineStr">
        <is>
          <t>CASTAÑO</t>
        </is>
      </c>
      <c r="B4" s="4" t="inlineStr">
        <is>
          <t>ALIMENTOS PLAR COMERCIAL, C.A.</t>
        </is>
      </c>
      <c r="C4" s="10" t="n">
        <v>7242048879</v>
      </c>
      <c r="D4" s="18" t="n">
        <v>46084</v>
      </c>
      <c r="E4" s="19" t="inlineStr">
        <is>
          <t>RECEPCIÓN</t>
        </is>
      </c>
      <c r="F4" s="10" t="inlineStr">
        <is>
          <t>YORVIT ZORRILLA</t>
        </is>
      </c>
      <c r="G4" s="20" t="inlineStr">
        <is>
          <t>FALTA SELLO, FIRMA O CÉDULA.</t>
        </is>
      </c>
      <c r="H4" s="20">
        <f>IF(G4="","",VLOOKUP(G4,REFERENCIA!$A$1:$B$14,2,0))</f>
        <v/>
      </c>
      <c r="I4" s="10" t="inlineStr">
        <is>
          <t>FALTO NRO DE CEDULA DEL SPCP</t>
        </is>
      </c>
      <c r="J4" s="10" t="n"/>
    </row>
    <row r="5">
      <c r="A5" s="2" t="inlineStr">
        <is>
          <t>CASTAÑO</t>
        </is>
      </c>
      <c r="B5" s="4" t="inlineStr">
        <is>
          <t>GALLETERA ITALIA, C.A.</t>
        </is>
      </c>
      <c r="C5" s="10" t="n">
        <v>6269</v>
      </c>
      <c r="D5" s="18" t="n">
        <v>46084</v>
      </c>
      <c r="E5" s="19" t="inlineStr">
        <is>
          <t>RECEPCIÓN</t>
        </is>
      </c>
      <c r="F5" s="10" t="inlineStr">
        <is>
          <t>BARBARA ROMERO</t>
        </is>
      </c>
      <c r="G5" s="20" t="inlineStr">
        <is>
          <t>NÚMERO DE CONTROL O DOCUMENTO ERRÓNEO.</t>
        </is>
      </c>
      <c r="H5" s="20">
        <f>IF(G5="","",VLOOKUP(G5,REFERENCIA!$A$1:$B$14,2,0))</f>
        <v/>
      </c>
      <c r="I5" s="10" t="inlineStr">
        <is>
          <t>NRO DE FACTURA ERRONEO</t>
        </is>
      </c>
      <c r="J5" s="10" t="n"/>
    </row>
    <row r="6">
      <c r="A6" s="2" t="inlineStr">
        <is>
          <t>CASTAÑO</t>
        </is>
      </c>
      <c r="B6" s="4" t="inlineStr">
        <is>
          <t>CAVA LUXOR</t>
        </is>
      </c>
      <c r="C6" s="10" t="n">
        <v>3388</v>
      </c>
      <c r="D6" s="18" t="n">
        <v>46084</v>
      </c>
      <c r="E6" s="19" t="inlineStr">
        <is>
          <t>RECEPCIÓN</t>
        </is>
      </c>
      <c r="F6" s="10" t="inlineStr">
        <is>
          <t>BARBARA ROMERO</t>
        </is>
      </c>
      <c r="G6" s="20" t="inlineStr">
        <is>
          <t>PRODUCTO O SKU NO PERTENECE A LA RECEPCIÓN.</t>
        </is>
      </c>
      <c r="H6" s="20">
        <f>IF(G6="","",VLOOKUP(G6,REFERENCIA!$A$1:$B$14,2,0))</f>
        <v/>
      </c>
      <c r="I6" s="10" t="inlineStr">
        <is>
          <t>ERROR AL CARGAR SKU</t>
        </is>
      </c>
      <c r="J6" s="10" t="n"/>
    </row>
    <row r="7" ht="28.8" customHeight="1">
      <c r="A7" s="2" t="inlineStr">
        <is>
          <t>BARQUISIMETO</t>
        </is>
      </c>
      <c r="B7" s="4" t="inlineStr">
        <is>
          <t>SUPLIDORA EL VIGIA, SUVICA C.A.</t>
        </is>
      </c>
      <c r="C7" s="10" t="n">
        <v>5679</v>
      </c>
      <c r="D7" s="18" t="n">
        <v>46084</v>
      </c>
      <c r="E7" s="19" t="inlineStr">
        <is>
          <t>RECEPCIÓN</t>
        </is>
      </c>
      <c r="F7" s="10" t="inlineStr">
        <is>
          <t>REIDINSON MONTERO</t>
        </is>
      </c>
      <c r="G7" s="20" t="inlineStr">
        <is>
          <t>DOCUMENTACIÓN ERRÓNEA</t>
        </is>
      </c>
      <c r="H7" s="20">
        <f>IF(G7="","",VLOOKUP(G7,REFERENCIA!$A$1:$B$14,2,0))</f>
        <v/>
      </c>
      <c r="I7" s="10" t="inlineStr">
        <is>
          <t xml:space="preserve">SE CARGO LA FOTO ERRONEA </t>
        </is>
      </c>
      <c r="J7" s="10" t="n"/>
    </row>
    <row r="8" ht="28.8" customHeight="1">
      <c r="A8" s="2" t="inlineStr">
        <is>
          <t>BARQUISIMETO</t>
        </is>
      </c>
      <c r="B8" s="4" t="inlineStr">
        <is>
          <t>CORPORACION JSL, C.A.</t>
        </is>
      </c>
      <c r="C8" s="10" t="n">
        <v>90076096</v>
      </c>
      <c r="D8" s="18" t="n">
        <v>46085</v>
      </c>
      <c r="E8" s="19" t="inlineStr">
        <is>
          <t>RECEPCIÓN</t>
        </is>
      </c>
      <c r="F8" s="10" t="inlineStr">
        <is>
          <t>REIDINSON MONTERO</t>
        </is>
      </c>
      <c r="G8" s="20" t="inlineStr">
        <is>
          <t>NÚMERO DE CONTROL O DOCUMENTO ERRÓNEO.</t>
        </is>
      </c>
      <c r="H8" s="20">
        <f>IF(G8="","",VLOOKUP(G8,REFERENCIA!$A$1:$B$14,2,0))</f>
        <v/>
      </c>
      <c r="I8" s="10" t="inlineStr">
        <is>
          <t>NO DE FACTURA ERRONEO</t>
        </is>
      </c>
      <c r="J8" s="10" t="n"/>
    </row>
    <row r="9" ht="28.8" customHeight="1">
      <c r="A9" s="2" t="inlineStr">
        <is>
          <t>BARQUISIMETO</t>
        </is>
      </c>
      <c r="B9" s="4" t="inlineStr">
        <is>
          <t>ADOLFO'S VICAR, C.A.</t>
        </is>
      </c>
      <c r="C9" s="10" t="n">
        <v>13082</v>
      </c>
      <c r="D9" s="18" t="n">
        <v>46085</v>
      </c>
      <c r="E9" s="19" t="inlineStr">
        <is>
          <t>RECEPCIÓN</t>
        </is>
      </c>
      <c r="F9" s="10" t="inlineStr">
        <is>
          <t>REIDINSON MONTERO</t>
        </is>
      </c>
      <c r="G9" s="20" t="inlineStr">
        <is>
          <t>FALTA SELLO, FIRMA O CÉDULA.</t>
        </is>
      </c>
      <c r="H9" s="20">
        <f>IF(G9="","",VLOOKUP(G9,REFERENCIA!$A$1:$B$14,2,0))</f>
        <v/>
      </c>
      <c r="I9" s="10" t="inlineStr">
        <is>
          <t>FALTO NRO DE CEDULA DEL SPCP</t>
        </is>
      </c>
      <c r="J9" s="10" t="n"/>
    </row>
    <row r="10" ht="28.8" customHeight="1">
      <c r="A10" s="2" t="inlineStr">
        <is>
          <t>BARQUISIMETO</t>
        </is>
      </c>
      <c r="B10" s="5" t="inlineStr">
        <is>
          <t>ALIMENTOS POLAR COMERCIAL, C.A.</t>
        </is>
      </c>
      <c r="C10" s="10" t="n">
        <v>7790810569</v>
      </c>
      <c r="D10" s="18" t="n">
        <v>46085</v>
      </c>
      <c r="E10" s="19" t="inlineStr">
        <is>
          <t>RECEPCIÓN</t>
        </is>
      </c>
      <c r="F10" s="10" t="inlineStr">
        <is>
          <t>REIDINSON MONTERO</t>
        </is>
      </c>
      <c r="G10" s="20" t="inlineStr">
        <is>
          <t>NÚMERO DE CONTROL O DOCUMENTO ERRÓNEO.</t>
        </is>
      </c>
      <c r="H10" s="20">
        <f>IF(G10="","",VLOOKUP(G10,REFERENCIA!$A$1:$B$14,2,0))</f>
        <v/>
      </c>
      <c r="I10" s="10" t="inlineStr">
        <is>
          <t>NRO DE FACTURA ERRONEO</t>
        </is>
      </c>
      <c r="J10" s="10" t="n"/>
    </row>
    <row r="11" ht="28.8" customHeight="1">
      <c r="A11" s="2" t="inlineStr">
        <is>
          <t>BARQUISIMETO</t>
        </is>
      </c>
      <c r="B11" s="5" t="inlineStr">
        <is>
          <t>INVERSIONES LAS PATRONAS, 2024 C.A.</t>
        </is>
      </c>
      <c r="C11" s="10" t="n">
        <v>103</v>
      </c>
      <c r="D11" s="18" t="n">
        <v>46085</v>
      </c>
      <c r="E11" s="19" t="inlineStr">
        <is>
          <t>RECEPCIÓN</t>
        </is>
      </c>
      <c r="F11" s="10" t="inlineStr">
        <is>
          <t>REIDINSON MONTERO</t>
        </is>
      </c>
      <c r="G11" s="20" t="inlineStr">
        <is>
          <t>DIFERENCIA ENTRE CANTIDAD FISCALIZADA Y DOCUMENTO.</t>
        </is>
      </c>
      <c r="H11" s="20">
        <f>IF(G11="","",VLOOKUP(G11,REFERENCIA!$A$1:$B$14,2,0))</f>
        <v/>
      </c>
      <c r="I11" s="10" t="inlineStr">
        <is>
          <t xml:space="preserve">FALTANTE DE 1 KG DE PATILLA </t>
        </is>
      </c>
      <c r="J11" s="12" t="n">
        <v>0.59</v>
      </c>
    </row>
    <row r="12" ht="28.8" customHeight="1">
      <c r="A12" s="2" t="inlineStr">
        <is>
          <t>BARQUISIMETO</t>
        </is>
      </c>
      <c r="B12" s="6" t="inlineStr">
        <is>
          <t>ALIMENTOS DIFRESCA, C.A.</t>
        </is>
      </c>
      <c r="C12" s="10" t="n">
        <v>209239</v>
      </c>
      <c r="D12" s="18" t="n">
        <v>46086</v>
      </c>
      <c r="E12" s="19" t="inlineStr">
        <is>
          <t>RECEPCIÓN</t>
        </is>
      </c>
      <c r="F12" s="10" t="inlineStr">
        <is>
          <t>REIDINSON MONTERO</t>
        </is>
      </c>
      <c r="G12" s="20" t="inlineStr">
        <is>
          <t>NÚMERO DE CONTROL O DOCUMENTO ERRÓNEO.</t>
        </is>
      </c>
      <c r="H12" s="20">
        <f>IF(G12="","",VLOOKUP(G12,REFERENCIA!$A$1:$B$14,2,0))</f>
        <v/>
      </c>
      <c r="I12" s="10" t="inlineStr">
        <is>
          <t>NRO DE FACTURA ERRONEO</t>
        </is>
      </c>
      <c r="J12" s="10" t="n"/>
    </row>
    <row r="13">
      <c r="A13" s="2" t="inlineStr">
        <is>
          <t>CASTAÑO</t>
        </is>
      </c>
      <c r="B13" s="6" t="inlineStr">
        <is>
          <t>CORPORACION R3, C.A.</t>
        </is>
      </c>
      <c r="C13" s="10" t="n">
        <v>22631</v>
      </c>
      <c r="D13" s="18" t="n">
        <v>46086</v>
      </c>
      <c r="E13" s="19" t="inlineStr">
        <is>
          <t>DEVOLUCION</t>
        </is>
      </c>
      <c r="F13" s="10" t="inlineStr">
        <is>
          <t>DIEGO GUERRERO</t>
        </is>
      </c>
      <c r="G13" s="20" t="inlineStr">
        <is>
          <t>PRODUCTO O SKU NO PERTENECE A LA RECEPCIÓN.</t>
        </is>
      </c>
      <c r="H13" s="20">
        <f>IF(G13="","",VLOOKUP(G13,REFERENCIA!$A$1:$B$14,2,0))</f>
        <v/>
      </c>
      <c r="I13" s="10" t="inlineStr">
        <is>
          <t>ERROR AL CARGAR SKU</t>
        </is>
      </c>
      <c r="J13" s="10" t="n"/>
    </row>
    <row r="14" ht="28.8" customHeight="1">
      <c r="A14" s="2" t="inlineStr">
        <is>
          <t>CASTAÑO</t>
        </is>
      </c>
      <c r="B14" s="4" t="inlineStr">
        <is>
          <t>INVERSIONES DON DAVID NZ, C.A.</t>
        </is>
      </c>
      <c r="C14" s="10" t="n">
        <v>761</v>
      </c>
      <c r="D14" s="18" t="n">
        <v>46086</v>
      </c>
      <c r="E14" s="19" t="inlineStr">
        <is>
          <t>RECEPCIÓN</t>
        </is>
      </c>
      <c r="F14" s="10" t="inlineStr">
        <is>
          <t>DIEGO GUERRERO</t>
        </is>
      </c>
      <c r="G14" s="20" t="inlineStr">
        <is>
          <t>RECEPCIÓN SIN AUTORIZACIÓN DE CMF.</t>
        </is>
      </c>
      <c r="H14" s="20">
        <f>IF(G14="","",VLOOKUP(G14,REFERENCIA!$A$1:$B$14,2,0))</f>
        <v/>
      </c>
      <c r="I14" s="10" t="inlineStr">
        <is>
          <t>FISCALIZO SIN AUTORIZACION CMF</t>
        </is>
      </c>
      <c r="J14" s="10" t="n"/>
    </row>
    <row r="15">
      <c r="A15" s="2" t="inlineStr">
        <is>
          <t>CASTAÑO</t>
        </is>
      </c>
      <c r="B15" s="4" t="inlineStr">
        <is>
          <t>AGROPECUARIA LATIN FRUITS , C.A.</t>
        </is>
      </c>
      <c r="C15" s="10" t="n">
        <v>5578</v>
      </c>
      <c r="D15" s="18" t="n">
        <v>46087</v>
      </c>
      <c r="E15" s="19" t="inlineStr">
        <is>
          <t>RECEPCIÓN</t>
        </is>
      </c>
      <c r="F15" s="10" t="inlineStr">
        <is>
          <t>DIEGO GUERRERO</t>
        </is>
      </c>
      <c r="G15" s="20" t="inlineStr">
        <is>
          <t>PRODUCTO O SKU NO PERTENECE A LA RECEPCIÓN.</t>
        </is>
      </c>
      <c r="H15" s="20">
        <f>IF(G15="","",VLOOKUP(G15,REFERENCIA!$A$1:$B$14,2,0))</f>
        <v/>
      </c>
      <c r="I15" s="10" t="inlineStr">
        <is>
          <t xml:space="preserve">ERROR DE TARA </t>
        </is>
      </c>
      <c r="J15" s="10" t="n"/>
    </row>
    <row r="16" ht="28.8" customHeight="1">
      <c r="A16" s="2" t="inlineStr">
        <is>
          <t>BARQUISIMETO</t>
        </is>
      </c>
      <c r="B16" s="5" t="inlineStr">
        <is>
          <t>CAVA LUXOR</t>
        </is>
      </c>
      <c r="C16" s="10" t="n">
        <v>300008289</v>
      </c>
      <c r="D16" s="18" t="n">
        <v>46087</v>
      </c>
      <c r="E16" s="19" t="inlineStr">
        <is>
          <t>RECEPCIÓN</t>
        </is>
      </c>
      <c r="F16" s="10" t="inlineStr">
        <is>
          <t>REIDINSON MONTERO</t>
        </is>
      </c>
      <c r="G16" s="20" t="inlineStr">
        <is>
          <t>PRODUCTO O SKU DUPLICADO.</t>
        </is>
      </c>
      <c r="H16" s="20">
        <f>IF(G16="","",VLOOKUP(G16,REFERENCIA!$A$1:$B$14,2,0))</f>
        <v/>
      </c>
      <c r="I16" s="10" t="inlineStr">
        <is>
          <t>SKU DUPLICADO</t>
        </is>
      </c>
      <c r="J16" s="10" t="n"/>
    </row>
    <row r="17" ht="28.8" customHeight="1">
      <c r="A17" s="2" t="inlineStr">
        <is>
          <t>CASTAÑO</t>
        </is>
      </c>
      <c r="B17" s="4" t="inlineStr">
        <is>
          <t xml:space="preserve">CAVA LUXOR </t>
        </is>
      </c>
      <c r="C17" s="10" t="n"/>
      <c r="D17" s="15" t="n">
        <v>46087</v>
      </c>
      <c r="E17" s="16" t="inlineStr">
        <is>
          <t>RECEPCIÓN</t>
        </is>
      </c>
      <c r="F17" s="10" t="inlineStr">
        <is>
          <t xml:space="preserve">FERNANDO CABRERA </t>
        </is>
      </c>
      <c r="G17" s="20" t="inlineStr">
        <is>
          <t>NO FISCALIZÓ UNO O VARIOS PRODUCTOS</t>
        </is>
      </c>
      <c r="H17" s="20">
        <f>IF(G17="","",VLOOKUP(G17,REFERENCIA!$A$1:$B$14,2,0))</f>
        <v/>
      </c>
      <c r="I17" s="10" t="inlineStr">
        <is>
          <t>NO FISCALIZO UNO O MAS PRODUCTOS</t>
        </is>
      </c>
      <c r="J17" s="13" t="n">
        <v>922.42</v>
      </c>
    </row>
    <row r="18">
      <c r="A18" s="2" t="inlineStr">
        <is>
          <t>CASTAÑO</t>
        </is>
      </c>
      <c r="B18" s="4" t="inlineStr">
        <is>
          <t>SUPLIDORA EL VIGIA, SUVICA C.A.</t>
        </is>
      </c>
      <c r="C18" s="10" t="n">
        <v>4275</v>
      </c>
      <c r="D18" s="15" t="n">
        <v>46090</v>
      </c>
      <c r="E18" s="16" t="inlineStr">
        <is>
          <t>RECEPCIÓN</t>
        </is>
      </c>
      <c r="F18" s="10" t="inlineStr">
        <is>
          <t>MARCOS GARCIA</t>
        </is>
      </c>
      <c r="G18" s="20" t="inlineStr">
        <is>
          <t>NÚMERO DE CONTROL O DOCUMENTO ERRÓNEO.</t>
        </is>
      </c>
      <c r="H18" s="20">
        <f>IF(G18="","",VLOOKUP(G18,REFERENCIA!$A$1:$B$14,2,0))</f>
        <v/>
      </c>
      <c r="I18" s="10" t="inlineStr">
        <is>
          <t>NRO DE CONTRL ERRONEO</t>
        </is>
      </c>
      <c r="J18" s="10" t="n"/>
    </row>
    <row r="19" ht="28.8" customHeight="1">
      <c r="A19" s="2" t="inlineStr">
        <is>
          <t>BARQUISIMETO</t>
        </is>
      </c>
      <c r="B19" s="5" t="inlineStr">
        <is>
          <t>COMERCIALIZADORA Y FERREAGRO SANTOS 7, C.A.</t>
        </is>
      </c>
      <c r="C19" s="10" t="n">
        <v>2465</v>
      </c>
      <c r="D19" s="15" t="n">
        <v>46090</v>
      </c>
      <c r="E19" s="16" t="inlineStr">
        <is>
          <t>RECEPCIÓN</t>
        </is>
      </c>
      <c r="F19" s="10" t="inlineStr">
        <is>
          <t>REIDINSON MONTERO</t>
        </is>
      </c>
      <c r="G19" s="20" t="inlineStr">
        <is>
          <t>NÚMERO DE CONTROL O DOCUMENTO ERRÓNEO.</t>
        </is>
      </c>
      <c r="H19" s="20">
        <f>IF(G19="","",VLOOKUP(G19,REFERENCIA!$A$1:$B$14,2,0))</f>
        <v/>
      </c>
      <c r="I19" s="10" t="inlineStr">
        <is>
          <t>NRO DE FACTURA ERRONEO</t>
        </is>
      </c>
      <c r="J19" s="10" t="n"/>
    </row>
    <row r="20" ht="28.8" customHeight="1">
      <c r="A20" s="2" t="inlineStr">
        <is>
          <t>BARQUISIMETO</t>
        </is>
      </c>
      <c r="B20" s="4" t="inlineStr">
        <is>
          <t>ADOLFO'S VICAR, C.A.</t>
        </is>
      </c>
      <c r="C20" s="10" t="n">
        <v>13115</v>
      </c>
      <c r="D20" s="15" t="n">
        <v>46090</v>
      </c>
      <c r="E20" s="16" t="inlineStr">
        <is>
          <t>RECEPCIÓN</t>
        </is>
      </c>
      <c r="F20" s="10" t="inlineStr">
        <is>
          <t>REIDINSON MONTERO</t>
        </is>
      </c>
      <c r="G20" s="20" t="inlineStr">
        <is>
          <t>DIFERENCIA ENTRE CANTIDAD FISCALIZADA Y DOCUMENTO.</t>
        </is>
      </c>
      <c r="H20" s="20">
        <f>IF(G20="","",VLOOKUP(G20,REFERENCIA!$A$1:$B$14,2,0))</f>
        <v/>
      </c>
      <c r="I20" s="10" t="inlineStr">
        <is>
          <t>FALTANTE DE 2 KL DE APIO , POR UN MONTO DE 2.84 $</t>
        </is>
      </c>
      <c r="J20" s="12" t="n">
        <v>2.84</v>
      </c>
    </row>
    <row r="21">
      <c r="A21" s="2" t="inlineStr">
        <is>
          <t>CASTAÑO</t>
        </is>
      </c>
      <c r="B21" s="4" t="inlineStr">
        <is>
          <t>KC GLOBAL INT, C.A.</t>
        </is>
      </c>
      <c r="C21" s="10" t="n">
        <v>6250</v>
      </c>
      <c r="D21" s="15" t="n">
        <v>46092</v>
      </c>
      <c r="E21" s="16" t="inlineStr">
        <is>
          <t>RECEPCIÓN</t>
        </is>
      </c>
      <c r="F21" s="10" t="inlineStr">
        <is>
          <t>BARBARA ROMERO</t>
        </is>
      </c>
      <c r="G21" s="20" t="inlineStr">
        <is>
          <t>PRODUCTO O SKU DUPLICADO.</t>
        </is>
      </c>
      <c r="H21" s="20">
        <f>IF(G21="","",VLOOKUP(G21,REFERENCIA!$A$1:$B$14,2,0))</f>
        <v/>
      </c>
      <c r="I21" s="10" t="inlineStr">
        <is>
          <t>SKU DUPLICADO</t>
        </is>
      </c>
      <c r="J21" s="10" t="n"/>
    </row>
    <row r="22">
      <c r="A22" s="2" t="inlineStr">
        <is>
          <t>BARQUISIMETO</t>
        </is>
      </c>
      <c r="B22" s="4" t="inlineStr">
        <is>
          <t>CERVECERIA POLAR, C.A.</t>
        </is>
      </c>
      <c r="C22" s="10" t="n">
        <v>1630083787</v>
      </c>
      <c r="D22" s="15" t="n">
        <v>46092</v>
      </c>
      <c r="E22" s="16" t="inlineStr">
        <is>
          <t>RECEPCIÓN</t>
        </is>
      </c>
      <c r="F22" s="10" t="inlineStr">
        <is>
          <t>RUBER RAMOS</t>
        </is>
      </c>
      <c r="G22" s="20" t="inlineStr">
        <is>
          <t>NÚMERO DE CONTROL O DOCUMENTO ERRÓNEO.</t>
        </is>
      </c>
      <c r="H22" s="20">
        <f>IF(G22="","",VLOOKUP(G22,REFERENCIA!$A$1:$B$14,2,0))</f>
        <v/>
      </c>
      <c r="I22" s="10" t="inlineStr">
        <is>
          <t>NRO DE CONTROL ERRONEO</t>
        </is>
      </c>
      <c r="J22" s="10" t="n"/>
    </row>
    <row r="23" ht="72.45" customHeight="1">
      <c r="A23" s="3" t="inlineStr">
        <is>
          <t>BARQUISIMETO</t>
        </is>
      </c>
      <c r="B23" s="7" t="inlineStr">
        <is>
          <t>RUBROS SANARE C2, C.A.</t>
        </is>
      </c>
      <c r="C23" s="10" t="n">
        <v>23601</v>
      </c>
      <c r="D23" s="15" t="n">
        <v>46093</v>
      </c>
      <c r="E23" s="16" t="inlineStr">
        <is>
          <t>DEVOLUCION</t>
        </is>
      </c>
      <c r="F23" s="10" t="inlineStr">
        <is>
          <t>RUBER RAMOS</t>
        </is>
      </c>
      <c r="G23" s="20" t="inlineStr">
        <is>
          <t>ERROR DE KG EN TARA.</t>
        </is>
      </c>
      <c r="H23" s="20">
        <f>IF(G23="","",VLOOKUP(G23,REFERENCIA!$A$1:$B$14,2,0))</f>
        <v/>
      </c>
      <c r="I23" s="10" t="inlineStr">
        <is>
          <t>ERROR AL CARGA LA TARA SE COLOCO 2.4 KG Y SE RECIBIERON 2.2 KG LO CUAL GENERO UN FALTANTE DE 0.200 GR DE AGUACATE</t>
        </is>
      </c>
      <c r="J23" s="13" t="n">
        <v>1.41</v>
      </c>
    </row>
    <row r="24" ht="28.8" customHeight="1">
      <c r="A24" s="3" t="inlineStr">
        <is>
          <t>CASTAÑO</t>
        </is>
      </c>
      <c r="B24" s="7" t="inlineStr">
        <is>
          <t>ALIMENTOS HEINZ, C.A.</t>
        </is>
      </c>
      <c r="C24" s="10" t="n">
        <v>2218762</v>
      </c>
      <c r="D24" s="15" t="n">
        <v>46094</v>
      </c>
      <c r="E24" s="16" t="inlineStr">
        <is>
          <t>RECEPCIÓN</t>
        </is>
      </c>
      <c r="F24" s="10" t="inlineStr">
        <is>
          <t xml:space="preserve">FERNANDO CABRERA </t>
        </is>
      </c>
      <c r="G24" s="20" t="inlineStr">
        <is>
          <t>PRODUCTO O SKU DUPLICADO.</t>
        </is>
      </c>
      <c r="H24" s="20">
        <f>IF(G24="","",VLOOKUP(G24,REFERENCIA!$A$1:$B$14,2,0))</f>
        <v/>
      </c>
      <c r="I24" s="10" t="inlineStr">
        <is>
          <t>SKU DUPLICADO</t>
        </is>
      </c>
      <c r="J24" s="10" t="n"/>
    </row>
    <row r="25">
      <c r="A25" s="2" t="inlineStr">
        <is>
          <t>CASTAÑO</t>
        </is>
      </c>
      <c r="B25" s="5" t="inlineStr">
        <is>
          <t>ADOLFO'S VICAR, C.A.</t>
        </is>
      </c>
      <c r="C25" s="10" t="n">
        <v>13169</v>
      </c>
      <c r="D25" s="15" t="n">
        <v>46094</v>
      </c>
      <c r="E25" s="16" t="inlineStr">
        <is>
          <t>RECEPCIÓN</t>
        </is>
      </c>
      <c r="F25" s="10" t="inlineStr">
        <is>
          <t>DIEGO GUERRERO</t>
        </is>
      </c>
      <c r="G25" s="20" t="inlineStr">
        <is>
          <t>PRODUCTO O SKU DUPLICADO.</t>
        </is>
      </c>
      <c r="H25" s="20">
        <f>IF(G25="","",VLOOKUP(G25,REFERENCIA!$A$1:$B$14,2,0))</f>
        <v/>
      </c>
      <c r="I25" s="10" t="inlineStr">
        <is>
          <t>SKU DUPLICADO</t>
        </is>
      </c>
      <c r="J25" s="10" t="n"/>
    </row>
    <row r="26" ht="28.8" customHeight="1">
      <c r="A26" s="2" t="inlineStr">
        <is>
          <t>BARQUISIMETO</t>
        </is>
      </c>
      <c r="B26" s="4" t="inlineStr">
        <is>
          <t>CAVA LUXOR</t>
        </is>
      </c>
      <c r="C26" s="10" t="n">
        <v>300009123</v>
      </c>
      <c r="D26" s="15" t="n">
        <v>46094</v>
      </c>
      <c r="E26" s="16" t="inlineStr">
        <is>
          <t>RECEPCIÓN</t>
        </is>
      </c>
      <c r="F26" s="10" t="inlineStr">
        <is>
          <t>REIDINSON MONTERO</t>
        </is>
      </c>
      <c r="G26" s="20" t="inlineStr">
        <is>
          <t>PRODUCTO O SKU DUPLICADO.</t>
        </is>
      </c>
      <c r="H26" s="20">
        <f>IF(G26="","",VLOOKUP(G26,REFERENCIA!$A$1:$B$14,2,0))</f>
        <v/>
      </c>
      <c r="I26" s="10" t="inlineStr">
        <is>
          <t>SKU DUPLICADO</t>
        </is>
      </c>
      <c r="J26" s="10" t="n"/>
    </row>
    <row r="27" ht="28.8" customHeight="1">
      <c r="A27" s="3" t="inlineStr">
        <is>
          <t>CASTAÑO</t>
        </is>
      </c>
      <c r="B27" s="7" t="inlineStr">
        <is>
          <t>MUSACEUM, C.A.</t>
        </is>
      </c>
      <c r="C27" s="10" t="n">
        <v>3392</v>
      </c>
      <c r="D27" s="15" t="n">
        <v>46095</v>
      </c>
      <c r="E27" s="16" t="inlineStr">
        <is>
          <t>RECEPCIÓN</t>
        </is>
      </c>
      <c r="F27" s="10" t="inlineStr">
        <is>
          <t>MARCOS GARCIA</t>
        </is>
      </c>
      <c r="G27" s="20" t="inlineStr">
        <is>
          <t>RECEPCIÓN SIN AUTORIZACIÓN DE CMF.</t>
        </is>
      </c>
      <c r="H27" s="20">
        <f>IF(G27="","",VLOOKUP(G27,REFERENCIA!$A$1:$B$14,2,0))</f>
        <v/>
      </c>
      <c r="I27" s="10" t="inlineStr">
        <is>
          <t>FISCALIZO SIN AUTORIZACION CMF</t>
        </is>
      </c>
      <c r="J27" s="10" t="n"/>
    </row>
    <row r="28">
      <c r="A28" s="2" t="inlineStr">
        <is>
          <t>CASTAÑO</t>
        </is>
      </c>
      <c r="B28" s="6" t="inlineStr">
        <is>
          <t xml:space="preserve">CAVA LUXOR </t>
        </is>
      </c>
      <c r="C28" s="10" t="n">
        <v>3902</v>
      </c>
      <c r="D28" s="15" t="n">
        <v>46097</v>
      </c>
      <c r="E28" s="16" t="inlineStr">
        <is>
          <t>RECEPCIÓN</t>
        </is>
      </c>
      <c r="F28" s="10" t="inlineStr">
        <is>
          <t>NEIDY JASPE</t>
        </is>
      </c>
      <c r="G28" s="20" t="inlineStr">
        <is>
          <t>NÚMERO DE CONTROL O DOCUMENTO ERRÓNEO.</t>
        </is>
      </c>
      <c r="H28" s="20">
        <f>IF(G28="","",VLOOKUP(G28,REFERENCIA!$A$1:$B$14,2,0))</f>
        <v/>
      </c>
      <c r="I28" s="10" t="inlineStr">
        <is>
          <t xml:space="preserve">DOCUMENTACION ERRONEA </t>
        </is>
      </c>
      <c r="J28" s="10" t="n"/>
    </row>
    <row r="29">
      <c r="A29" s="2" t="inlineStr">
        <is>
          <t>CASTAÑO</t>
        </is>
      </c>
      <c r="B29" s="5" t="inlineStr">
        <is>
          <t>DISTRIBUIDORA DE ALIMENTOS BELLINO, C.A.</t>
        </is>
      </c>
      <c r="C29" s="10" t="n">
        <v>20873</v>
      </c>
      <c r="D29" s="15" t="n">
        <v>46097</v>
      </c>
      <c r="E29" s="16" t="inlineStr">
        <is>
          <t>RECEPCIÓN</t>
        </is>
      </c>
      <c r="F29" s="10" t="inlineStr">
        <is>
          <t>NEIDY JASPE</t>
        </is>
      </c>
      <c r="G29" s="20" t="inlineStr">
        <is>
          <t>PRODUCTO O SKU NO PERTENECE A LA RECEPCIÓN.</t>
        </is>
      </c>
      <c r="H29" s="20">
        <f>IF(G29="","",VLOOKUP(G29,REFERENCIA!$A$1:$B$14,2,0))</f>
        <v/>
      </c>
      <c r="I29" s="10" t="inlineStr">
        <is>
          <t xml:space="preserve">ERROR AL CARGAR SKU </t>
        </is>
      </c>
      <c r="J29" s="10" t="n"/>
    </row>
    <row r="30" ht="28.8" customHeight="1">
      <c r="A30" s="2" t="inlineStr">
        <is>
          <t>CASTAÑO</t>
        </is>
      </c>
      <c r="B30" s="7" t="inlineStr">
        <is>
          <t>ADOLFO'S VICAR, C.A.</t>
        </is>
      </c>
      <c r="C30" s="10" t="n">
        <v>13190</v>
      </c>
      <c r="D30" s="15" t="n">
        <v>46097</v>
      </c>
      <c r="E30" s="16" t="inlineStr">
        <is>
          <t>RECEPCIÓN</t>
        </is>
      </c>
      <c r="F30" s="10" t="inlineStr">
        <is>
          <t>BARBARA ROMERO</t>
        </is>
      </c>
      <c r="G30" s="20" t="inlineStr">
        <is>
          <t>RECEPCIÓN SIN AUTORIZACIÓN DE CMF.</t>
        </is>
      </c>
      <c r="H30" s="20">
        <f>IF(G30="","",VLOOKUP(G30,REFERENCIA!$A$1:$B$14,2,0))</f>
        <v/>
      </c>
      <c r="I30" s="10" t="inlineStr">
        <is>
          <t>FISCALIZO SIN AUTORIZACION CMF</t>
        </is>
      </c>
      <c r="J30" s="10" t="n"/>
    </row>
    <row r="31" ht="28.8" customHeight="1">
      <c r="A31" s="2" t="inlineStr">
        <is>
          <t>BARQUISIMETO</t>
        </is>
      </c>
      <c r="B31" s="4" t="inlineStr">
        <is>
          <t>ADOLFO'S VICAR, C.A.</t>
        </is>
      </c>
      <c r="C31" s="10" t="n">
        <v>24179</v>
      </c>
      <c r="D31" s="15" t="n">
        <v>46097</v>
      </c>
      <c r="E31" s="16" t="inlineStr">
        <is>
          <t>RECEPCIÓN</t>
        </is>
      </c>
      <c r="F31" s="10" t="inlineStr">
        <is>
          <t>REIDINSON MONTERO</t>
        </is>
      </c>
      <c r="G31" s="20" t="inlineStr">
        <is>
          <t>FALTA SELLO, FIRMA O CÉDULA.</t>
        </is>
      </c>
      <c r="H31" s="20">
        <f>IF(G31="","",VLOOKUP(G31,REFERENCIA!$A$1:$B$14,2,0))</f>
        <v/>
      </c>
      <c r="I31" s="9" t="inlineStr">
        <is>
          <t>FALTO SELLO DE4 LA SUCURSAL</t>
        </is>
      </c>
      <c r="J31" s="11" t="n"/>
    </row>
    <row r="32" ht="28.8" customHeight="1">
      <c r="A32" s="4" t="inlineStr">
        <is>
          <t>BARQUISIMETO</t>
        </is>
      </c>
      <c r="B32" s="4" t="inlineStr">
        <is>
          <t>I.T.C. DISTRIBUCIONES LOS LLANOS, C.A.</t>
        </is>
      </c>
      <c r="C32" s="4" t="inlineStr">
        <is>
          <t>JB30186</t>
        </is>
      </c>
      <c r="D32" s="15" t="n">
        <v>46099</v>
      </c>
      <c r="E32" s="16" t="inlineStr">
        <is>
          <t>RECEPCIÓN</t>
        </is>
      </c>
      <c r="F32" s="4" t="inlineStr">
        <is>
          <t>REIDINSON MONTERO</t>
        </is>
      </c>
      <c r="G32" s="20" t="inlineStr">
        <is>
          <t>NÚMERO DE CONTROL O DOCUMENTO ERRÓNEO.</t>
        </is>
      </c>
      <c r="H32" s="20">
        <f>IF(G32="","",VLOOKUP(G32,REFERENCIA!$A$1:$B$14,2,0))</f>
        <v/>
      </c>
      <c r="I32" s="4" t="inlineStr">
        <is>
          <t>NRO DE FACTURA ERRONEO</t>
        </is>
      </c>
      <c r="J32" s="4" t="n"/>
    </row>
    <row r="33" ht="28.8" customHeight="1">
      <c r="A33" s="2" t="inlineStr">
        <is>
          <t>BARQUISIMETO</t>
        </is>
      </c>
      <c r="B33" s="8" t="inlineStr">
        <is>
          <t>EL TUNAL, C.A.</t>
        </is>
      </c>
      <c r="C33" s="10" t="n">
        <v>360220</v>
      </c>
      <c r="D33" s="15" t="n">
        <v>46099</v>
      </c>
      <c r="E33" s="16" t="inlineStr">
        <is>
          <t>RECEPCIÓN</t>
        </is>
      </c>
      <c r="F33" s="10" t="inlineStr">
        <is>
          <t>REIDINSON MONTERO</t>
        </is>
      </c>
      <c r="G33" s="20" t="inlineStr">
        <is>
          <t>NÚMERO DE CONTROL O DOCUMENTO ERRÓNEO.</t>
        </is>
      </c>
      <c r="H33" s="20">
        <f>IF(G33="","",VLOOKUP(G33,REFERENCIA!$A$1:$B$14,2,0))</f>
        <v/>
      </c>
      <c r="I33" s="10" t="inlineStr">
        <is>
          <t>NRO DE FACTURA ERRONEO</t>
        </is>
      </c>
      <c r="J33" s="10" t="n"/>
    </row>
    <row r="34" ht="28.8" customHeight="1">
      <c r="A34" s="2" t="inlineStr">
        <is>
          <t>BARQUISIMETO</t>
        </is>
      </c>
      <c r="B34" s="8" t="inlineStr">
        <is>
          <t>MOCASA MOLINOS CARABOBO, S.A.</t>
        </is>
      </c>
      <c r="C34" s="10" t="n">
        <v>1201406907</v>
      </c>
      <c r="D34" s="15" t="n">
        <v>46101</v>
      </c>
      <c r="E34" s="16" t="inlineStr">
        <is>
          <t>RECEPCIÓN</t>
        </is>
      </c>
      <c r="F34" s="10" t="inlineStr">
        <is>
          <t>REIDINSON MONTERO</t>
        </is>
      </c>
      <c r="G34" s="20" t="inlineStr">
        <is>
          <t>PRODUCTO O SKU DUPLICADO.</t>
        </is>
      </c>
      <c r="H34" s="20">
        <f>IF(G34="","",VLOOKUP(G34,REFERENCIA!$A$1:$B$14,2,0))</f>
        <v/>
      </c>
      <c r="I34" s="10" t="inlineStr">
        <is>
          <t xml:space="preserve">SKU DUPLICADO </t>
        </is>
      </c>
      <c r="J34" s="10" t="n"/>
    </row>
    <row r="35" ht="28.8" customHeight="1">
      <c r="A35" s="2" t="inlineStr">
        <is>
          <t>BARQUISIMETO</t>
        </is>
      </c>
      <c r="B35" s="8" t="inlineStr">
        <is>
          <t>INVERSIONES LAS PATRONAS 2024, C.A.</t>
        </is>
      </c>
      <c r="C35" s="10" t="n">
        <v>134</v>
      </c>
      <c r="D35" s="15" t="n">
        <v>46104</v>
      </c>
      <c r="E35" s="16" t="inlineStr">
        <is>
          <t>RECEPCIÓN</t>
        </is>
      </c>
      <c r="F35" s="10" t="inlineStr">
        <is>
          <t>REIDINSON MONTERO</t>
        </is>
      </c>
      <c r="G35" s="20" t="inlineStr">
        <is>
          <t>RECEPCIÓN FUERA DE VISUAL / CON OBSTRUCCIÓN.</t>
        </is>
      </c>
      <c r="H35" s="20">
        <f>IF(G35="","",VLOOKUP(G35,REFERENCIA!$A$1:$B$14,2,0))</f>
        <v/>
      </c>
      <c r="I35" s="10" t="inlineStr">
        <is>
          <t>RECEPCION FUERA DE VISUAL /CON OBSTRUCCION</t>
        </is>
      </c>
      <c r="J35" s="10" t="n"/>
    </row>
    <row r="36" ht="28.8" customHeight="1">
      <c r="A36" s="2" t="inlineStr">
        <is>
          <t>CASTAÑO</t>
        </is>
      </c>
      <c r="B36" s="8" t="inlineStr">
        <is>
          <t>TEQUEÑERIA EL TEQUEÑON, C.A.</t>
        </is>
      </c>
      <c r="C36" s="10" t="n">
        <v>23029</v>
      </c>
      <c r="D36" s="15" t="n">
        <v>46105</v>
      </c>
      <c r="E36" s="16" t="inlineStr">
        <is>
          <t>RECEPCIÓN</t>
        </is>
      </c>
      <c r="F36" s="10" t="inlineStr">
        <is>
          <t xml:space="preserve">FERNANDO CABRERA </t>
        </is>
      </c>
      <c r="G36" s="20" t="inlineStr">
        <is>
          <t>NÚMERO DE CONTROL O DOCUMENTO ERRÓNEO.</t>
        </is>
      </c>
      <c r="H36" s="20">
        <f>IF(G36="","",VLOOKUP(G36,REFERENCIA!$A$1:$B$14,2,0))</f>
        <v/>
      </c>
      <c r="I36" s="10" t="inlineStr">
        <is>
          <t>NRO DE FACTURA Y CONTROL ERRADO</t>
        </is>
      </c>
      <c r="J36" s="10" t="n"/>
    </row>
    <row r="37">
      <c r="A37" s="2" t="inlineStr">
        <is>
          <t>CASTAÑO</t>
        </is>
      </c>
      <c r="B37" s="8" t="inlineStr">
        <is>
          <t>ADOLFO'S VICAR, C.A.</t>
        </is>
      </c>
      <c r="C37" s="10" t="n">
        <v>13315</v>
      </c>
      <c r="D37" s="15" t="n">
        <v>46111</v>
      </c>
      <c r="E37" s="16" t="inlineStr">
        <is>
          <t>RECEPCIÓN</t>
        </is>
      </c>
      <c r="F37" s="10" t="inlineStr">
        <is>
          <t xml:space="preserve">EMISAEL QUERALES </t>
        </is>
      </c>
      <c r="G37" s="20" t="inlineStr">
        <is>
          <t>DIFERENCIA ENTRE CANTIDAD FISCALIZADA Y DOCUMENTO.</t>
        </is>
      </c>
      <c r="H37" s="20">
        <f>IF(G37="","",VLOOKUP(G37,REFERENCIA!$A$1:$B$14,2,0))</f>
        <v/>
      </c>
      <c r="I37" s="10" t="inlineStr">
        <is>
          <t xml:space="preserve">FALTANTE DE 200 GR DE COLIFLOR </t>
        </is>
      </c>
      <c r="J37" s="12" t="n">
        <v>0.88</v>
      </c>
    </row>
    <row r="38" ht="28.8" customHeight="1">
      <c r="A38" s="2" t="inlineStr">
        <is>
          <t>BARQUISIMETO</t>
        </is>
      </c>
      <c r="B38" s="8" t="inlineStr">
        <is>
          <t>EMBOTELLADORA DELCENTRO, C.A.</t>
        </is>
      </c>
      <c r="C38" s="10" t="n">
        <v>6003884</v>
      </c>
      <c r="D38" s="15" t="n">
        <v>46112</v>
      </c>
      <c r="E38" s="16" t="inlineStr">
        <is>
          <t>RECEPCIÓN</t>
        </is>
      </c>
      <c r="F38" s="10" t="inlineStr">
        <is>
          <t>REIDINSON MONTERO</t>
        </is>
      </c>
      <c r="G38" s="20" t="inlineStr">
        <is>
          <t>NÚMERO DE CONTROL O DOCUMENTO ERRÓNEO.</t>
        </is>
      </c>
      <c r="H38" s="20">
        <f>IF(G38="","",VLOOKUP(G38,REFERENCIA!$A$1:$B$14,2,0))</f>
        <v/>
      </c>
      <c r="I38" s="10" t="inlineStr">
        <is>
          <t xml:space="preserve">DOCUMENTACION ERRONEA </t>
        </is>
      </c>
      <c r="J38" s="10" t="n"/>
    </row>
    <row r="39">
      <c r="A39" s="20" t="n"/>
      <c r="B39" s="20" t="n"/>
      <c r="C39" s="20" t="n"/>
      <c r="D39" s="20" t="n"/>
      <c r="E39" s="20" t="n"/>
      <c r="F39" s="20" t="n"/>
      <c r="G39" s="20" t="n"/>
      <c r="H39" s="20">
        <f>IF(G39="","",VLOOKUP(G39,REFERENCIA!$A$1:$B$14,2,0))</f>
        <v/>
      </c>
      <c r="I39" s="20" t="n"/>
      <c r="J39" s="20" t="n"/>
    </row>
    <row r="40">
      <c r="A40" s="20" t="n"/>
      <c r="B40" s="20" t="n"/>
      <c r="C40" s="20" t="n"/>
      <c r="D40" s="20" t="n"/>
      <c r="E40" s="20" t="n"/>
      <c r="F40" s="20" t="n"/>
      <c r="G40" s="20" t="n"/>
      <c r="H40" s="20">
        <f>IF(G40="","",VLOOKUP(G40,REFERENCIA!$A$1:$B$14,2,0))</f>
        <v/>
      </c>
      <c r="I40" s="20" t="n"/>
      <c r="J40" s="20" t="n"/>
    </row>
    <row r="41">
      <c r="A41" s="20" t="n"/>
      <c r="B41" s="20" t="n"/>
      <c r="C41" s="20" t="n"/>
      <c r="D41" s="20" t="n"/>
      <c r="E41" s="20" t="n"/>
      <c r="F41" s="20" t="n"/>
      <c r="G41" s="20" t="n"/>
      <c r="H41" s="20">
        <f>IF(G41="","",VLOOKUP(G41,REFERENCIA!$A$1:$B$14,2,0))</f>
        <v/>
      </c>
      <c r="I41" s="20" t="n"/>
      <c r="J41" s="20" t="n"/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conditionalFormatting sqref="B9">
    <cfRule type="duplicateValues" priority="11" dxfId="0"/>
    <cfRule type="duplicateValues" priority="12" dxfId="0"/>
  </conditionalFormatting>
  <conditionalFormatting sqref="B26">
    <cfRule type="duplicateValues" priority="9" dxfId="0"/>
    <cfRule type="duplicateValues" priority="10" dxfId="0"/>
  </conditionalFormatting>
  <conditionalFormatting sqref="B28">
    <cfRule type="duplicateValues" priority="7" dxfId="0"/>
    <cfRule type="duplicateValues" priority="8" dxfId="0"/>
  </conditionalFormatting>
  <conditionalFormatting sqref="B32">
    <cfRule type="duplicateValues" priority="5" dxfId="0"/>
    <cfRule type="duplicateValues" priority="6" dxfId="0"/>
  </conditionalFormatting>
  <conditionalFormatting sqref="B33">
    <cfRule type="duplicateValues" priority="3" dxfId="0"/>
    <cfRule type="duplicateValues" priority="4" dxfId="0"/>
  </conditionalFormatting>
  <conditionalFormatting sqref="B38">
    <cfRule type="duplicateValues" priority="1" dxfId="0"/>
    <cfRule type="duplicateValues" priority="2" dxfId="0"/>
  </conditionalFormatting>
  <dataValidations count="1">
    <dataValidation sqref="B9:B10 B12:B13 B15 B17:B19 B26:B29 B31:B33 B35 B38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77343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 ht="14.55" customHeight="1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 ht="14.55" customHeight="1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 ht="14.55" customHeight="1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 ht="14.55" customHeight="1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2026-06-02T19:19:40Z</dcterms:modified>
  <cp:lastModifiedBy>garantias</cp:lastModifiedBy>
</cp:coreProperties>
</file>