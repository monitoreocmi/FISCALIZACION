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3756" yWindow="0" windowWidth="23256" windowHeight="13176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45621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Arial Rounded MT Bold"/>
      <family val="2"/>
      <color theme="1"/>
      <sz val="11"/>
    </font>
    <font>
      <name val="Calibri"/>
      <family val="2"/>
      <color theme="1"/>
      <sz val="10"/>
    </font>
    <font>
      <name val="Arial Rounded MT Bold"/>
      <family val="2"/>
      <color theme="1"/>
      <sz val="10"/>
    </font>
    <font>
      <name val="Calibri"/>
      <family val="2"/>
      <color theme="1"/>
      <sz val="11"/>
    </font>
    <font>
      <name val="Arial"/>
      <family val="2"/>
      <color rgb="FF1A202C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 vertical="center" wrapText="1"/>
    </xf>
    <xf numFmtId="14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 vertical="top" wrapText="1"/>
    </xf>
    <xf numFmtId="14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wrapText="1"/>
    </xf>
    <xf numFmtId="0" fontId="4" fillId="0" borderId="1" applyAlignment="1" pivotButton="0" quotePrefix="0" xfId="0">
      <alignment horizontal="center"/>
    </xf>
    <xf numFmtId="49" fontId="5" fillId="0" borderId="1" applyAlignment="1" pivotButton="0" quotePrefix="0" xfId="0">
      <alignment horizontal="center" vertical="center" wrapText="1"/>
    </xf>
    <xf numFmtId="14" fontId="4" fillId="0" borderId="1" applyAlignment="1" pivotButton="0" quotePrefix="0" xfId="0">
      <alignment horizontal="center"/>
    </xf>
    <xf numFmtId="49" fontId="4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 vertical="center"/>
    </xf>
    <xf numFmtId="0" fontId="6" fillId="0" borderId="1" pivotButton="0" quotePrefix="0" xfId="0"/>
    <xf numFmtId="0" fontId="5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/>
    </xf>
    <xf numFmtId="0" fontId="2" fillId="3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center" vertical="top" wrapText="1"/>
    </xf>
    <xf numFmtId="0" fontId="0" fillId="0" borderId="1" pivotButton="0" quotePrefix="0" xfId="0"/>
    <xf numFmtId="0" fontId="0" fillId="4" borderId="1" applyAlignment="1" pivotButton="0" quotePrefix="0" xfId="0">
      <alignment horizontal="center" vertical="top" wrapText="1"/>
    </xf>
    <xf numFmtId="0" fontId="2" fillId="4" borderId="1" applyAlignment="1" pivotButton="0" quotePrefix="0" xfId="0">
      <alignment horizontal="center" vertical="top" wrapText="1"/>
    </xf>
    <xf numFmtId="0" fontId="6" fillId="4" borderId="1" applyAlignment="1" pivotButton="0" quotePrefix="0" xfId="0">
      <alignment horizontal="center" vertical="top" wrapText="1"/>
    </xf>
    <xf numFmtId="0" fontId="0" fillId="5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/>
    </xf>
    <xf numFmtId="0" fontId="6" fillId="0" borderId="1" applyAlignment="1" pivotButton="0" quotePrefix="0" xfId="0">
      <alignment horizontal="center" wrapText="1"/>
    </xf>
    <xf numFmtId="0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/>
    </xf>
  </cellXfs>
  <cellStyles count="1">
    <cellStyle name="Normal" xfId="0" builtinId="0"/>
  </cellStyles>
  <dxfs count="1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topLeftCell="A22" zoomScale="70" zoomScaleNormal="70" workbookViewId="0">
      <selection activeCell="B11" sqref="B11"/>
    </sheetView>
  </sheetViews>
  <sheetFormatPr baseColWidth="10" defaultColWidth="9.109375" defaultRowHeight="14.4"/>
  <cols>
    <col width="19.44140625" customWidth="1" min="1" max="1"/>
    <col width="45" customWidth="1" min="2" max="2"/>
    <col width="12" customWidth="1" min="3" max="4"/>
    <col width="18" customWidth="1" min="5" max="5"/>
    <col width="41.109375" customWidth="1" min="6" max="6"/>
    <col width="45" customWidth="1" min="7" max="7"/>
    <col width="23.33203125" customWidth="1" min="8" max="8"/>
    <col width="48.5546875" customWidth="1" min="9" max="9"/>
    <col width="12" customWidth="1" min="10" max="10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>
      <c r="A2" s="2" t="inlineStr">
        <is>
          <t>BOSQUE</t>
        </is>
      </c>
      <c r="B2" s="28" t="inlineStr">
        <is>
          <t>ADOLFO'S VICAR, C.A</t>
        </is>
      </c>
      <c r="C2" s="28" t="n">
        <v>13054</v>
      </c>
      <c r="D2" s="4" t="n">
        <v>46083</v>
      </c>
      <c r="E2" s="5" t="inlineStr">
        <is>
          <t>RECEPCION</t>
        </is>
      </c>
      <c r="F2" s="27" t="inlineStr">
        <is>
          <t>SUB VIRGILIO ARAUJO</t>
        </is>
      </c>
      <c r="G2" s="22" t="inlineStr">
        <is>
          <t>ERROR DE KG EN TARA.</t>
        </is>
      </c>
      <c r="H2" s="22">
        <f>IF(G2="","",VLOOKUP(G2,REFERENCIA!$A$1:$B$14,2,0))</f>
        <v/>
      </c>
      <c r="I2" s="27" t="inlineStr">
        <is>
          <t>ERROR EN TARA DE ESPARRAGOS, 2.3KG</t>
        </is>
      </c>
      <c r="J2" s="23" t="n">
        <v>12.98</v>
      </c>
    </row>
    <row r="3">
      <c r="A3" s="2" t="inlineStr">
        <is>
          <t>TUCACAS</t>
        </is>
      </c>
      <c r="B3" s="28" t="inlineStr">
        <is>
          <t>AGROPECUARIA PUNTA LARGA, C.A</t>
        </is>
      </c>
      <c r="C3" s="28" t="n">
        <v>3237</v>
      </c>
      <c r="D3" s="4" t="n">
        <v>46083</v>
      </c>
      <c r="E3" s="5" t="inlineStr">
        <is>
          <t>RECEPCION</t>
        </is>
      </c>
      <c r="F3" s="27" t="inlineStr">
        <is>
          <t>GERENTE JUAN MEZA</t>
        </is>
      </c>
      <c r="G3" s="22" t="inlineStr">
        <is>
          <t>ERROR DE KG EN TARA.</t>
        </is>
      </c>
      <c r="H3" s="22">
        <f>IF(G3="","",VLOOKUP(G3,REFERENCIA!$A$1:$B$14,2,0))</f>
        <v/>
      </c>
      <c r="I3" s="27" t="inlineStr">
        <is>
          <t xml:space="preserve">ERROR EN TARA DE CAMBUR,  1.4KG </t>
        </is>
      </c>
      <c r="J3" s="23" t="n">
        <v>1.46</v>
      </c>
    </row>
    <row r="4">
      <c r="A4" s="2" t="inlineStr">
        <is>
          <t>NAGUANAGUA</t>
        </is>
      </c>
      <c r="B4" s="28" t="inlineStr">
        <is>
          <t>SUPLIDORA EL VIGIA</t>
        </is>
      </c>
      <c r="C4" s="28" t="n">
        <v>5666</v>
      </c>
      <c r="D4" s="4" t="n">
        <v>46083</v>
      </c>
      <c r="E4" s="5" t="inlineStr">
        <is>
          <t>RECEPCION</t>
        </is>
      </c>
      <c r="F4" s="27" t="inlineStr">
        <is>
          <t>PCP JOSE MALUENGA</t>
        </is>
      </c>
      <c r="G4" s="22" t="inlineStr">
        <is>
          <t>ERROR DE KG EN TARA.</t>
        </is>
      </c>
      <c r="H4" s="22">
        <f>IF(G4="","",VLOOKUP(G4,REFERENCIA!$A$1:$B$14,2,0))</f>
        <v/>
      </c>
      <c r="I4" s="27" t="inlineStr">
        <is>
          <t>ERROR EN TARA DE PLATANO,  2.5KG</t>
        </is>
      </c>
      <c r="J4" s="23" t="n">
        <v>3.75</v>
      </c>
    </row>
    <row r="5">
      <c r="A5" s="2" t="inlineStr">
        <is>
          <t>BOSQUE</t>
        </is>
      </c>
      <c r="B5" s="28" t="inlineStr">
        <is>
          <t>CAV A LUXOR, C.A</t>
        </is>
      </c>
      <c r="C5" s="28" t="n">
        <v>3369</v>
      </c>
      <c r="D5" s="4" t="n">
        <v>46083</v>
      </c>
      <c r="E5" s="5" t="inlineStr">
        <is>
          <t>RECEPCION</t>
        </is>
      </c>
      <c r="F5" s="27" t="inlineStr">
        <is>
          <t>SUB VIRGILIO ARAUJO</t>
        </is>
      </c>
      <c r="G5" s="22" t="inlineStr">
        <is>
          <t>FISCALIZACIÓN A DESTIEMPO</t>
        </is>
      </c>
      <c r="H5" s="22">
        <f>IF(G5="","",VLOOKUP(G5,REFERENCIA!$A$1:$B$14,2,0))</f>
        <v/>
      </c>
      <c r="I5" s="27" t="inlineStr">
        <is>
          <t xml:space="preserve">FISCALIZACION A DESTIEMPO </t>
        </is>
      </c>
      <c r="J5" s="27" t="n"/>
    </row>
    <row r="6">
      <c r="A6" s="2" t="inlineStr">
        <is>
          <t>BOSQUE</t>
        </is>
      </c>
      <c r="B6" s="28" t="inlineStr">
        <is>
          <t>CAV A LUXOR, C.A</t>
        </is>
      </c>
      <c r="C6" s="28" t="n">
        <v>105302</v>
      </c>
      <c r="D6" s="4" t="n">
        <v>46083</v>
      </c>
      <c r="E6" s="5" t="inlineStr">
        <is>
          <t>RECEPCION</t>
        </is>
      </c>
      <c r="F6" s="27" t="inlineStr">
        <is>
          <t>SUB VIRGILIO ARAUJO</t>
        </is>
      </c>
      <c r="G6" s="22" t="inlineStr">
        <is>
          <t>FISCALIZACIÓN A DESTIEMPO</t>
        </is>
      </c>
      <c r="H6" s="22">
        <f>IF(G6="","",VLOOKUP(G6,REFERENCIA!$A$1:$B$14,2,0))</f>
        <v/>
      </c>
      <c r="I6" s="27" t="inlineStr">
        <is>
          <t xml:space="preserve">FISCALIZACION A DESTIEMPO </t>
        </is>
      </c>
      <c r="J6" s="27" t="n"/>
    </row>
    <row r="7">
      <c r="A7" s="2" t="inlineStr">
        <is>
          <t>BOSQUE</t>
        </is>
      </c>
      <c r="B7" s="28" t="inlineStr">
        <is>
          <t>CAV A LUXOR, C.A</t>
        </is>
      </c>
      <c r="C7" s="28" t="n">
        <v>105327</v>
      </c>
      <c r="D7" s="4" t="n">
        <v>46083</v>
      </c>
      <c r="E7" s="5" t="inlineStr">
        <is>
          <t>RECEPCION</t>
        </is>
      </c>
      <c r="F7" s="27" t="inlineStr">
        <is>
          <t>SUB VIRGILIO ARAUJO</t>
        </is>
      </c>
      <c r="G7" s="22" t="inlineStr">
        <is>
          <t>FISCALIZACIÓN A DESTIEMPO</t>
        </is>
      </c>
      <c r="H7" s="22">
        <f>IF(G7="","",VLOOKUP(G7,REFERENCIA!$A$1:$B$14,2,0))</f>
        <v/>
      </c>
      <c r="I7" s="27" t="inlineStr">
        <is>
          <t xml:space="preserve">FISCALIZACION A DESTIEMPO </t>
        </is>
      </c>
      <c r="J7" s="27" t="n"/>
    </row>
    <row r="8">
      <c r="A8" s="2" t="inlineStr">
        <is>
          <t>BOSQUE</t>
        </is>
      </c>
      <c r="B8" s="28" t="inlineStr">
        <is>
          <t>AGROPECUARIA PUNTA LARGA, C.A</t>
        </is>
      </c>
      <c r="C8" s="28" t="n">
        <v>21944</v>
      </c>
      <c r="D8" s="7" t="n">
        <v>46083</v>
      </c>
      <c r="E8" s="8" t="inlineStr">
        <is>
          <t>DEVOLUCION</t>
        </is>
      </c>
      <c r="F8" s="28" t="inlineStr">
        <is>
          <t>PCP MIGBER LOZANO</t>
        </is>
      </c>
      <c r="G8" s="22" t="inlineStr">
        <is>
          <t>FALTA SELLO, FIRMA O CÉDULA.</t>
        </is>
      </c>
      <c r="H8" s="22">
        <f>IF(G8="","",VLOOKUP(G8,REFERENCIA!$A$1:$B$14,2,0))</f>
        <v/>
      </c>
      <c r="I8" s="28" t="inlineStr">
        <is>
          <t>FALTA SELLO</t>
        </is>
      </c>
      <c r="J8" s="27" t="n"/>
    </row>
    <row r="9">
      <c r="A9" s="2" t="inlineStr">
        <is>
          <t>BOSQUE</t>
        </is>
      </c>
      <c r="B9" s="28" t="inlineStr">
        <is>
          <t>RUBROS SANARE, C.A</t>
        </is>
      </c>
      <c r="C9" s="28" t="n">
        <v>21938</v>
      </c>
      <c r="D9" s="7" t="n">
        <v>46083</v>
      </c>
      <c r="E9" s="8" t="inlineStr">
        <is>
          <t>DEVOLUCION</t>
        </is>
      </c>
      <c r="F9" s="28" t="inlineStr">
        <is>
          <t>PCP MIGBER LOZANO</t>
        </is>
      </c>
      <c r="G9" s="22" t="inlineStr">
        <is>
          <t>FALTA SELLO, FIRMA O CÉDULA.</t>
        </is>
      </c>
      <c r="H9" s="22">
        <f>IF(G9="","",VLOOKUP(G9,REFERENCIA!$A$1:$B$14,2,0))</f>
        <v/>
      </c>
      <c r="I9" s="28" t="inlineStr">
        <is>
          <t>FALTA SELLO</t>
        </is>
      </c>
      <c r="J9" s="27" t="n"/>
    </row>
    <row r="10">
      <c r="A10" s="2" t="inlineStr">
        <is>
          <t>BOSQUE</t>
        </is>
      </c>
      <c r="B10" s="28" t="inlineStr">
        <is>
          <t>INVERSIONES GREFERSON, C.A</t>
        </is>
      </c>
      <c r="C10" s="34" t="n">
        <v>220220</v>
      </c>
      <c r="D10" s="7" t="n">
        <v>46083</v>
      </c>
      <c r="E10" s="8" t="inlineStr">
        <is>
          <t>DEVOLUCION</t>
        </is>
      </c>
      <c r="F10" s="28" t="inlineStr">
        <is>
          <t>PCP MIGBER LOZANO</t>
        </is>
      </c>
      <c r="G10" s="22" t="inlineStr">
        <is>
          <t>FALTA SELLO, FIRMA O CÉDULA.</t>
        </is>
      </c>
      <c r="H10" s="22">
        <f>IF(G10="","",VLOOKUP(G10,REFERENCIA!$A$1:$B$14,2,0))</f>
        <v/>
      </c>
      <c r="I10" s="28" t="inlineStr">
        <is>
          <t>FALTA SELLO</t>
        </is>
      </c>
      <c r="J10" s="27" t="n"/>
    </row>
    <row r="11">
      <c r="A11" s="2" t="inlineStr">
        <is>
          <t>BOSQUE</t>
        </is>
      </c>
      <c r="B11" s="28" t="inlineStr">
        <is>
          <t>INVERSIONES VELANDRIA, C.A</t>
        </is>
      </c>
      <c r="C11" s="28" t="n">
        <v>10099</v>
      </c>
      <c r="D11" s="4" t="n">
        <v>46083</v>
      </c>
      <c r="E11" s="5" t="inlineStr">
        <is>
          <t>RECEPCION</t>
        </is>
      </c>
      <c r="F11" s="27" t="inlineStr">
        <is>
          <t>SUB MARIANGEL GRATEROL</t>
        </is>
      </c>
      <c r="G11" s="22" t="inlineStr">
        <is>
          <t>DOCUMENTO NO LEGIBLE</t>
        </is>
      </c>
      <c r="H11" s="22">
        <f>IF(G11="","",VLOOKUP(G11,REFERENCIA!$A$1:$B$14,2,0))</f>
        <v/>
      </c>
      <c r="I11" s="27" t="inlineStr">
        <is>
          <t>DOCUMENTO NO LEGIBLE</t>
        </is>
      </c>
      <c r="J11" s="27" t="n"/>
    </row>
    <row r="12">
      <c r="A12" s="2" t="inlineStr">
        <is>
          <t>BOSQUE</t>
        </is>
      </c>
      <c r="B12" s="33" t="inlineStr">
        <is>
          <t>PRODUCTOS FRESCOS PROFRESCA, C.A</t>
        </is>
      </c>
      <c r="C12" s="33" t="n">
        <v>26708</v>
      </c>
      <c r="D12" s="4" t="n">
        <v>46084</v>
      </c>
      <c r="E12" s="5" t="inlineStr">
        <is>
          <t>RECEPCION</t>
        </is>
      </c>
      <c r="F12" s="27" t="inlineStr">
        <is>
          <t>SUB VIRGILIO ARAUJO</t>
        </is>
      </c>
      <c r="G12" s="22" t="inlineStr">
        <is>
          <t>DOCUMENTO NO LEGIBLE</t>
        </is>
      </c>
      <c r="H12" s="22">
        <f>IF(G12="","",VLOOKUP(G12,REFERENCIA!$A$1:$B$14,2,0))</f>
        <v/>
      </c>
      <c r="I12" s="27" t="inlineStr">
        <is>
          <t>DOCUMENTO NO LEGIBLE</t>
        </is>
      </c>
      <c r="J12" s="27" t="n"/>
    </row>
    <row r="13">
      <c r="A13" s="2" t="inlineStr">
        <is>
          <t>BOSQUE</t>
        </is>
      </c>
      <c r="B13" s="33" t="inlineStr">
        <is>
          <t>PRODUCTOS FRESCOS PROFRESCA, C.A</t>
        </is>
      </c>
      <c r="C13" s="33" t="n">
        <v>26707</v>
      </c>
      <c r="D13" s="4" t="n">
        <v>46084</v>
      </c>
      <c r="E13" s="5" t="inlineStr">
        <is>
          <t>RECEPCION</t>
        </is>
      </c>
      <c r="F13" s="27" t="inlineStr">
        <is>
          <t>SUB VIRGILIO ARAUJO</t>
        </is>
      </c>
      <c r="G13" s="22" t="inlineStr">
        <is>
          <t>DOCUMENTO NO LEGIBLE</t>
        </is>
      </c>
      <c r="H13" s="22">
        <f>IF(G13="","",VLOOKUP(G13,REFERENCIA!$A$1:$B$14,2,0))</f>
        <v/>
      </c>
      <c r="I13" s="27" t="inlineStr">
        <is>
          <t>DOCUMENTO NO LEGIBLE</t>
        </is>
      </c>
      <c r="J13" s="27" t="n"/>
    </row>
    <row r="14">
      <c r="A14" s="2" t="inlineStr">
        <is>
          <t>BOSQUE</t>
        </is>
      </c>
      <c r="B14" s="34" t="inlineStr">
        <is>
          <t>CAVA LUXOR, C.A</t>
        </is>
      </c>
      <c r="C14" s="34" t="n">
        <v>3386</v>
      </c>
      <c r="D14" s="7" t="n">
        <v>46084</v>
      </c>
      <c r="E14" s="8" t="inlineStr">
        <is>
          <t>RECEPCION</t>
        </is>
      </c>
      <c r="F14" s="28" t="inlineStr">
        <is>
          <t>SUB VIRGILIO ARAUJO</t>
        </is>
      </c>
      <c r="G14" s="22" t="inlineStr">
        <is>
          <t>FISCALIZACIÓN A DESTIEMPO</t>
        </is>
      </c>
      <c r="H14" s="22">
        <f>IF(G14="","",VLOOKUP(G14,REFERENCIA!$A$1:$B$14,2,0))</f>
        <v/>
      </c>
      <c r="I14" s="28" t="inlineStr">
        <is>
          <t xml:space="preserve">FISCALIZACION A DESTIEMPO </t>
        </is>
      </c>
      <c r="J14" s="27" t="n"/>
    </row>
    <row r="15">
      <c r="A15" s="2" t="inlineStr">
        <is>
          <t>BOSQUE</t>
        </is>
      </c>
      <c r="B15" s="34" t="inlineStr">
        <is>
          <t>CAVA LUXOR, C.A</t>
        </is>
      </c>
      <c r="C15" s="34" t="n">
        <v>3410</v>
      </c>
      <c r="D15" s="7" t="n">
        <v>46084</v>
      </c>
      <c r="E15" s="8" t="inlineStr">
        <is>
          <t>RECEPCION</t>
        </is>
      </c>
      <c r="F15" s="28" t="inlineStr">
        <is>
          <t>SUB VIRGILIO ARAUJO</t>
        </is>
      </c>
      <c r="G15" s="22" t="inlineStr">
        <is>
          <t>FISCALIZACIÓN A DESTIEMPO</t>
        </is>
      </c>
      <c r="H15" s="22">
        <f>IF(G15="","",VLOOKUP(G15,REFERENCIA!$A$1:$B$14,2,0))</f>
        <v/>
      </c>
      <c r="I15" s="28" t="inlineStr">
        <is>
          <t xml:space="preserve">FISCALIZACION A DESTIEMPO </t>
        </is>
      </c>
      <c r="J15" s="27" t="n"/>
    </row>
    <row r="16">
      <c r="A16" s="2" t="inlineStr">
        <is>
          <t>BOSQUE</t>
        </is>
      </c>
      <c r="B16" s="28" t="inlineStr">
        <is>
          <t>ADOLFO'S VICAR, C.A</t>
        </is>
      </c>
      <c r="C16" s="28" t="n">
        <v>13075</v>
      </c>
      <c r="D16" s="7" t="n">
        <v>46085</v>
      </c>
      <c r="E16" s="8" t="inlineStr">
        <is>
          <t>RECEPCION</t>
        </is>
      </c>
      <c r="F16" s="28" t="inlineStr">
        <is>
          <t>SUB SUGGEY CASTRO</t>
        </is>
      </c>
      <c r="G16" s="22" t="inlineStr">
        <is>
          <t>PRODUCTO O SKU DUPLICADO.</t>
        </is>
      </c>
      <c r="H16" s="22">
        <f>IF(G16="","",VLOOKUP(G16,REFERENCIA!$A$1:$B$14,2,0))</f>
        <v/>
      </c>
      <c r="I16" s="28" t="inlineStr">
        <is>
          <t>PRODUCTO/SKU DUPLICADO</t>
        </is>
      </c>
      <c r="J16" s="27" t="n"/>
    </row>
    <row r="17">
      <c r="A17" s="28" t="inlineStr">
        <is>
          <t>TUCACAS</t>
        </is>
      </c>
      <c r="B17" s="28" t="inlineStr">
        <is>
          <t>INVERSIONES LAS PATRONAS  2024, C.A</t>
        </is>
      </c>
      <c r="C17" s="28" t="n">
        <v>102</v>
      </c>
      <c r="D17" s="7" t="n">
        <v>46085</v>
      </c>
      <c r="E17" s="8" t="inlineStr">
        <is>
          <t>RECEPCION</t>
        </is>
      </c>
      <c r="F17" s="28" t="inlineStr">
        <is>
          <t>SUB GENESIS COBOS</t>
        </is>
      </c>
      <c r="G17" s="22" t="inlineStr">
        <is>
          <t>ERROR DE KG EN TARA.</t>
        </is>
      </c>
      <c r="H17" s="22">
        <f>IF(G17="","",VLOOKUP(G17,REFERENCIA!$A$1:$B$14,2,0))</f>
        <v/>
      </c>
      <c r="I17" s="28" t="inlineStr">
        <is>
          <t>ERROR EN TARA, 2.6KG DE AJI DULCE</t>
        </is>
      </c>
      <c r="J17" s="23" t="n">
        <v>2.86</v>
      </c>
    </row>
    <row r="18">
      <c r="A18" s="11" t="inlineStr">
        <is>
          <t>TUCACAS</t>
        </is>
      </c>
      <c r="B18" s="35" t="inlineStr">
        <is>
          <t>ADOLFO'S VICAR, C.A</t>
        </is>
      </c>
      <c r="C18" s="13" t="inlineStr">
        <is>
          <t>13095</t>
        </is>
      </c>
      <c r="D18" s="14" t="n">
        <v>46087</v>
      </c>
      <c r="E18" s="15" t="inlineStr">
        <is>
          <t>RECEPCION</t>
        </is>
      </c>
      <c r="F18" s="16" t="inlineStr">
        <is>
          <t>SUB GENESIS COBOS</t>
        </is>
      </c>
      <c r="G18" s="22" t="inlineStr">
        <is>
          <t>FISCALIZACIÓN A DESTIEMPO</t>
        </is>
      </c>
      <c r="H18" s="22">
        <f>IF(G18="","",VLOOKUP(G18,REFERENCIA!$A$1:$B$14,2,0))</f>
        <v/>
      </c>
      <c r="I18" s="29" t="inlineStr">
        <is>
          <t xml:space="preserve">FISCALIZACION A DESTIEMPO </t>
        </is>
      </c>
      <c r="J18" s="20" t="n"/>
    </row>
    <row r="19">
      <c r="A19" s="2" t="inlineStr">
        <is>
          <t>BOSQUE</t>
        </is>
      </c>
      <c r="B19" s="35" t="inlineStr">
        <is>
          <t>LA CARIDAD, C.A</t>
        </is>
      </c>
      <c r="C19" s="13" t="inlineStr">
        <is>
          <t>39263</t>
        </is>
      </c>
      <c r="D19" s="14" t="n">
        <v>46087</v>
      </c>
      <c r="E19" s="15" t="inlineStr">
        <is>
          <t>RECEPCION</t>
        </is>
      </c>
      <c r="F19" s="16" t="inlineStr">
        <is>
          <t>GERENTE ROBERT NUÑEZ</t>
        </is>
      </c>
      <c r="G19" s="22" t="inlineStr">
        <is>
          <t>ERROR DE KG EN TARA.</t>
        </is>
      </c>
      <c r="H19" s="22">
        <f>IF(G19="","",VLOOKUP(G19,REFERENCIA!$A$1:$B$14,2,0))</f>
        <v/>
      </c>
      <c r="I19" s="29" t="inlineStr">
        <is>
          <t xml:space="preserve">ERROR EN TARA, 4.5KG DE POLLO FRESCO </t>
        </is>
      </c>
      <c r="J19" s="24" t="n">
        <v>16.92</v>
      </c>
    </row>
    <row r="20">
      <c r="A20" s="2" t="inlineStr">
        <is>
          <t>BOSQUE</t>
        </is>
      </c>
      <c r="B20" s="35" t="inlineStr">
        <is>
          <t>INVERSIONES LAS PATRONAS  2024, C.A</t>
        </is>
      </c>
      <c r="C20" s="13" t="inlineStr">
        <is>
          <t>207</t>
        </is>
      </c>
      <c r="D20" s="14" t="n">
        <v>46087</v>
      </c>
      <c r="E20" s="15" t="inlineStr">
        <is>
          <t>RECEPCION</t>
        </is>
      </c>
      <c r="F20" s="16" t="inlineStr">
        <is>
          <t>SUB VIRGILIO ARAUJO</t>
        </is>
      </c>
      <c r="G20" s="22" t="inlineStr">
        <is>
          <t>ERROR DE KG EN TARA.</t>
        </is>
      </c>
      <c r="H20" s="22">
        <f>IF(G20="","",VLOOKUP(G20,REFERENCIA!$A$1:$B$14,2,0))</f>
        <v/>
      </c>
      <c r="I20" s="29" t="inlineStr">
        <is>
          <t>ERROR EN TARA, 20.8KG AUYAMA</t>
        </is>
      </c>
      <c r="J20" s="24" t="n">
        <v>2.5</v>
      </c>
    </row>
    <row r="21">
      <c r="A21" s="28" t="inlineStr">
        <is>
          <t>NAGUANAGUA</t>
        </is>
      </c>
      <c r="B21" s="28" t="inlineStr">
        <is>
          <t>ADOLFO'S VICAR, C.A</t>
        </is>
      </c>
      <c r="C21" s="34" t="n">
        <v>13094</v>
      </c>
      <c r="D21" s="7" t="n">
        <v>46087</v>
      </c>
      <c r="E21" s="8" t="inlineStr">
        <is>
          <t>RECEPCION</t>
        </is>
      </c>
      <c r="F21" s="28" t="inlineStr">
        <is>
          <t>PCP JOSE MALUENGA</t>
        </is>
      </c>
      <c r="G21" s="22" t="inlineStr">
        <is>
          <t>NO FISCALIZÓ UNO O VARIOS PRODUCTOS</t>
        </is>
      </c>
      <c r="H21" s="22">
        <f>IF(G21="","",VLOOKUP(G21,REFERENCIA!$A$1:$B$14,2,0))</f>
        <v/>
      </c>
      <c r="I21" s="28" t="inlineStr">
        <is>
          <t>NO FISCALIZÓ UNO O MÁS PRODUCTOS, RUDA  2.1KG</t>
        </is>
      </c>
      <c r="J21" s="23" t="n">
        <v>5.25</v>
      </c>
    </row>
    <row r="22">
      <c r="A22" s="2" t="inlineStr">
        <is>
          <t>BOSQUE</t>
        </is>
      </c>
      <c r="B22" s="28" t="inlineStr">
        <is>
          <t>AGROPECUARIA PUNTA LARGA, C.A</t>
        </is>
      </c>
      <c r="C22" s="28" t="n">
        <v>2874</v>
      </c>
      <c r="D22" s="7" t="n">
        <v>46087</v>
      </c>
      <c r="E22" s="8" t="inlineStr">
        <is>
          <t>RECEPCION</t>
        </is>
      </c>
      <c r="F22" s="28" t="inlineStr">
        <is>
          <t>SUB MARIANGEL GRATEROL</t>
        </is>
      </c>
      <c r="G22" s="22" t="inlineStr">
        <is>
          <t>RECEPCIÓN SIN AUTORIZACIÓN DE CMF.</t>
        </is>
      </c>
      <c r="H22" s="22">
        <f>IF(G22="","",VLOOKUP(G22,REFERENCIA!$A$1:$B$14,2,0))</f>
        <v/>
      </c>
      <c r="I22" s="28" t="inlineStr">
        <is>
          <t>RECEPCION SIN AUTORIZACION DE CMF</t>
        </is>
      </c>
      <c r="J22" s="27" t="n"/>
    </row>
    <row r="23">
      <c r="A23" s="28" t="inlineStr">
        <is>
          <t>TUCACAS</t>
        </is>
      </c>
      <c r="B23" s="28" t="inlineStr">
        <is>
          <t>RUBROS SANARE, C.A</t>
        </is>
      </c>
      <c r="C23" s="28" t="n">
        <v>22545</v>
      </c>
      <c r="D23" s="7" t="n">
        <v>46090</v>
      </c>
      <c r="E23" s="8" t="inlineStr">
        <is>
          <t>RECEPCION</t>
        </is>
      </c>
      <c r="F23" s="28" t="inlineStr">
        <is>
          <t>SUB GENESIS COBOS</t>
        </is>
      </c>
      <c r="G23" s="22" t="inlineStr">
        <is>
          <t>NÚMERO DE CONTROL O DOCUMENTO ERRÓNEO.</t>
        </is>
      </c>
      <c r="H23" s="22">
        <f>IF(G23="","",VLOOKUP(G23,REFERENCIA!$A$1:$B$14,2,0))</f>
        <v/>
      </c>
      <c r="I23" s="28" t="inlineStr">
        <is>
          <t>ERROR EN NUMERO DE CONTROL</t>
        </is>
      </c>
      <c r="J23" s="27" t="n"/>
    </row>
    <row r="24">
      <c r="A24" s="28" t="inlineStr">
        <is>
          <t>TUCACAS</t>
        </is>
      </c>
      <c r="B24" s="28" t="inlineStr">
        <is>
          <t>INVERSIONES LAS PATRONAS  2024, C.A</t>
        </is>
      </c>
      <c r="C24" s="28" t="n">
        <v>17</v>
      </c>
      <c r="D24" s="7" t="n">
        <v>46091</v>
      </c>
      <c r="E24" s="8" t="inlineStr">
        <is>
          <t>RECEPCION</t>
        </is>
      </c>
      <c r="F24" s="28" t="inlineStr">
        <is>
          <t>SUB GENESIS COBOS</t>
        </is>
      </c>
      <c r="G24" s="22" t="inlineStr">
        <is>
          <t>NÚMERO DE CONTROL O DOCUMENTO ERRÓNEO.</t>
        </is>
      </c>
      <c r="H24" s="22">
        <f>IF(G24="","",VLOOKUP(G24,REFERENCIA!$A$1:$B$14,2,0))</f>
        <v/>
      </c>
      <c r="I24" s="30" t="inlineStr">
        <is>
          <t>ERROR EN NUMERO DE CONTROL</t>
        </is>
      </c>
      <c r="J24" s="21" t="n"/>
    </row>
    <row r="25">
      <c r="A25" s="2" t="inlineStr">
        <is>
          <t>BOSQUE</t>
        </is>
      </c>
      <c r="B25" s="28" t="inlineStr">
        <is>
          <t>PRODUCTOS Y DERIVADOS VIGUS, C.A</t>
        </is>
      </c>
      <c r="C25" s="28" t="n">
        <v>55919</v>
      </c>
      <c r="D25" s="7" t="n">
        <v>46091</v>
      </c>
      <c r="E25" s="8" t="inlineStr">
        <is>
          <t>RECEPCION</t>
        </is>
      </c>
      <c r="F25" s="28" t="inlineStr">
        <is>
          <t>SUB VIRGILIO ARAUJO</t>
        </is>
      </c>
      <c r="G25" s="22" t="inlineStr">
        <is>
          <t>DOCUMENTACIÓN ERRÓNEA</t>
        </is>
      </c>
      <c r="H25" s="22">
        <f>IF(G25="","",VLOOKUP(G25,REFERENCIA!$A$1:$B$14,2,0))</f>
        <v/>
      </c>
      <c r="I25" s="28" t="inlineStr">
        <is>
          <t>DOCUMENTACION ERRONEA</t>
        </is>
      </c>
      <c r="J25" s="27" t="n"/>
    </row>
    <row r="26">
      <c r="A26" s="2" t="inlineStr">
        <is>
          <t>BOSQUE</t>
        </is>
      </c>
      <c r="B26" s="28" t="inlineStr">
        <is>
          <t>PRODUCTOS Y DERIVADOS VIGUS, C.A</t>
        </is>
      </c>
      <c r="C26" s="28" t="n">
        <v>55906</v>
      </c>
      <c r="D26" s="7" t="n">
        <v>46091</v>
      </c>
      <c r="E26" s="8" t="inlineStr">
        <is>
          <t>RECEPCION</t>
        </is>
      </c>
      <c r="F26" s="28" t="inlineStr">
        <is>
          <t>SUB VIRGILIO ARAUJO</t>
        </is>
      </c>
      <c r="G26" s="22" t="inlineStr">
        <is>
          <t>DOCUMENTACIÓN ERRÓNEA</t>
        </is>
      </c>
      <c r="H26" s="22">
        <f>IF(G26="","",VLOOKUP(G26,REFERENCIA!$A$1:$B$14,2,0))</f>
        <v/>
      </c>
      <c r="I26" s="28" t="inlineStr">
        <is>
          <t>DOCUMENTACION ERRONEA</t>
        </is>
      </c>
      <c r="J26" s="27" t="n"/>
    </row>
    <row r="27">
      <c r="A27" s="2" t="inlineStr">
        <is>
          <t>BOSQUE</t>
        </is>
      </c>
      <c r="B27" s="17" t="inlineStr">
        <is>
          <t>AGROPECUARIA ORO BLANCO,M C.A</t>
        </is>
      </c>
      <c r="C27" s="17" t="n">
        <v>6309</v>
      </c>
      <c r="D27" s="7" t="n">
        <v>46094</v>
      </c>
      <c r="E27" s="8" t="inlineStr">
        <is>
          <t>RECEPCION</t>
        </is>
      </c>
      <c r="F27" s="28" t="inlineStr">
        <is>
          <t>SUB SUGGEY CASTRO</t>
        </is>
      </c>
      <c r="G27" s="22" t="inlineStr">
        <is>
          <t>NÚMERO DE CONTROL O DOCUMENTO ERRÓNEO.</t>
        </is>
      </c>
      <c r="H27" s="22">
        <f>IF(G27="","",VLOOKUP(G27,REFERENCIA!$A$1:$B$14,2,0))</f>
        <v/>
      </c>
      <c r="I27" s="31" t="inlineStr">
        <is>
          <t>ERROR EN NUMERO DE CONTROL</t>
        </is>
      </c>
      <c r="J27" s="21" t="n"/>
    </row>
    <row r="28">
      <c r="A28" s="2" t="inlineStr">
        <is>
          <t>BOSQUE</t>
        </is>
      </c>
      <c r="B28" s="17" t="inlineStr">
        <is>
          <t>YEFFERSON MORGADO</t>
        </is>
      </c>
      <c r="C28" s="17" t="n">
        <v>125053</v>
      </c>
      <c r="D28" s="7" t="n">
        <v>46094</v>
      </c>
      <c r="E28" s="8" t="inlineStr">
        <is>
          <t>RECEPCION</t>
        </is>
      </c>
      <c r="F28" s="28" t="inlineStr">
        <is>
          <t>SUB ENRIQUE BALZA</t>
        </is>
      </c>
      <c r="G28" s="22" t="inlineStr">
        <is>
          <t>NO FISCALIZÓ UNO O VARIOS PRODUCTOS</t>
        </is>
      </c>
      <c r="H28" s="22">
        <f>IF(G28="","",VLOOKUP(G28,REFERENCIA!$A$1:$B$14,2,0))</f>
        <v/>
      </c>
      <c r="I28" s="31" t="inlineStr">
        <is>
          <t>NO FISCALIZÓ UNO O MÁS PRODUCTOS,  82.6KG DE PAPAYA</t>
        </is>
      </c>
      <c r="J28" s="25" t="n">
        <v>90.86</v>
      </c>
    </row>
    <row r="29">
      <c r="A29" s="28" t="inlineStr">
        <is>
          <t>TUCACAS</t>
        </is>
      </c>
      <c r="B29" s="17" t="inlineStr">
        <is>
          <t>INVERSIONES LAS PATRONAS 2024, C.A</t>
        </is>
      </c>
      <c r="C29" s="17" t="n">
        <v>195</v>
      </c>
      <c r="D29" s="7" t="n">
        <v>46095</v>
      </c>
      <c r="E29" s="8" t="inlineStr">
        <is>
          <t>RECEPCION</t>
        </is>
      </c>
      <c r="F29" s="28" t="inlineStr">
        <is>
          <t>SUB CARLOS PARACO</t>
        </is>
      </c>
      <c r="G29" s="22" t="inlineStr">
        <is>
          <t>RECEPCIÓN SIN AUTORIZACIÓN DE CMF.</t>
        </is>
      </c>
      <c r="H29" s="22">
        <f>IF(G29="","",VLOOKUP(G29,REFERENCIA!$A$1:$B$14,2,0))</f>
        <v/>
      </c>
      <c r="I29" s="31" t="inlineStr">
        <is>
          <t xml:space="preserve">FACTURA ELIMINADA DE APP </t>
        </is>
      </c>
      <c r="J29" s="25" t="n">
        <v>1051.37</v>
      </c>
    </row>
    <row r="30">
      <c r="A30" s="28" t="inlineStr">
        <is>
          <t>NAGUANAGUA</t>
        </is>
      </c>
      <c r="B30" s="17" t="inlineStr">
        <is>
          <t>ADOLFO'S VICAR, C.A</t>
        </is>
      </c>
      <c r="C30" s="17" t="n">
        <v>13178</v>
      </c>
      <c r="D30" s="7" t="n">
        <v>46097</v>
      </c>
      <c r="E30" s="8" t="inlineStr">
        <is>
          <t>RECEPCION</t>
        </is>
      </c>
      <c r="F30" s="28" t="inlineStr">
        <is>
          <t>PCP JOSE MALUENGA</t>
        </is>
      </c>
      <c r="G30" s="22" t="inlineStr">
        <is>
          <t>NÚMERO DE CONTROL O DOCUMENTO ERRÓNEO.</t>
        </is>
      </c>
      <c r="H30" s="22">
        <f>IF(G30="","",VLOOKUP(G30,REFERENCIA!$A$1:$B$14,2,0))</f>
        <v/>
      </c>
      <c r="I30" s="32" t="inlineStr">
        <is>
          <t>NUMERO DE CONTROL INCORRECTO</t>
        </is>
      </c>
      <c r="J30" s="21" t="n"/>
    </row>
    <row r="31">
      <c r="A31" s="28" t="inlineStr">
        <is>
          <t>NAGUANAGUA</t>
        </is>
      </c>
      <c r="B31" s="34" t="inlineStr">
        <is>
          <t>SUPLIDORA EL VIGIA</t>
        </is>
      </c>
      <c r="C31" s="34" t="n">
        <v>5779</v>
      </c>
      <c r="D31" s="7" t="n">
        <v>46097</v>
      </c>
      <c r="E31" s="8" t="inlineStr">
        <is>
          <t>RECEPCION</t>
        </is>
      </c>
      <c r="F31" s="28" t="inlineStr">
        <is>
          <t>PCP JOSE MALUENGA</t>
        </is>
      </c>
      <c r="G31" s="22" t="inlineStr">
        <is>
          <t>DOCUMENTACIÓN ERRÓNEA</t>
        </is>
      </c>
      <c r="H31" s="22">
        <f>IF(G31="","",VLOOKUP(G31,REFERENCIA!$A$1:$B$14,2,0))</f>
        <v/>
      </c>
      <c r="I31" s="28" t="inlineStr">
        <is>
          <t>DOCUMENTACION ERRONEA</t>
        </is>
      </c>
      <c r="J31" s="27" t="n"/>
    </row>
    <row r="32">
      <c r="A32" s="2" t="inlineStr">
        <is>
          <t>BOSQUE</t>
        </is>
      </c>
      <c r="B32" s="34" t="inlineStr">
        <is>
          <t>LA CARIDAD, C.A</t>
        </is>
      </c>
      <c r="C32" s="34" t="n">
        <v>39729</v>
      </c>
      <c r="D32" s="7" t="n">
        <v>46098</v>
      </c>
      <c r="E32" s="8" t="inlineStr">
        <is>
          <t>RECEPCION</t>
        </is>
      </c>
      <c r="F32" s="28" t="inlineStr">
        <is>
          <t>SUB SUGGEY CASTRO</t>
        </is>
      </c>
      <c r="G32" s="22" t="inlineStr">
        <is>
          <t>NO FISCALIZÓ UNO O VARIOS PRODUCTOS</t>
        </is>
      </c>
      <c r="H32" s="22">
        <f>IF(G32="","",VLOOKUP(G32,REFERENCIA!$A$1:$B$14,2,0))</f>
        <v/>
      </c>
      <c r="I32" s="28" t="inlineStr">
        <is>
          <t>NO FISCALIZÓ UN PESAJE DE POLLO FRESCO, 314.4KG</t>
        </is>
      </c>
      <c r="J32" s="23" t="n">
        <v>770.28</v>
      </c>
    </row>
    <row r="33">
      <c r="A33" s="28" t="inlineStr">
        <is>
          <t>NAGUANAGUA</t>
        </is>
      </c>
      <c r="B33" s="18" t="inlineStr">
        <is>
          <t>AGROPECUARIA  LATIN FRUITS, C.A</t>
        </is>
      </c>
      <c r="C33" s="18" t="n">
        <v>5743</v>
      </c>
      <c r="D33" s="7" t="n">
        <v>46098</v>
      </c>
      <c r="E33" s="8" t="inlineStr">
        <is>
          <t>RECEPCION</t>
        </is>
      </c>
      <c r="F33" s="28" t="inlineStr">
        <is>
          <t>PCP JOSE MALUENGA</t>
        </is>
      </c>
      <c r="G33" s="22" t="inlineStr">
        <is>
          <t>ERROR DE KG EN TARA.</t>
        </is>
      </c>
      <c r="H33" s="22">
        <f>IF(G33="","",VLOOKUP(G33,REFERENCIA!$A$1:$B$14,2,0))</f>
        <v/>
      </c>
      <c r="I33" s="28" t="inlineStr">
        <is>
          <t>ERROR EN TARA DE GUAYABA, 2.6KG</t>
        </is>
      </c>
      <c r="J33" s="23" t="n">
        <v>2</v>
      </c>
    </row>
    <row r="34">
      <c r="A34" s="28" t="inlineStr">
        <is>
          <t>TUCACAS</t>
        </is>
      </c>
      <c r="B34" s="18" t="inlineStr">
        <is>
          <t>CAVA LUXOR, C.A</t>
        </is>
      </c>
      <c r="C34" s="18" t="n">
        <v>3941</v>
      </c>
      <c r="D34" s="7" t="n">
        <v>46098</v>
      </c>
      <c r="E34" s="8" t="inlineStr">
        <is>
          <t>RECEPCION</t>
        </is>
      </c>
      <c r="F34" s="28" t="inlineStr">
        <is>
          <t>SUB GENESIS COBOS</t>
        </is>
      </c>
      <c r="G34" s="22" t="inlineStr">
        <is>
          <t>FISCALIZACIÓN A DESTIEMPO</t>
        </is>
      </c>
      <c r="H34" s="22">
        <f>IF(G34="","",VLOOKUP(G34,REFERENCIA!$A$1:$B$14,2,0))</f>
        <v/>
      </c>
      <c r="I34" s="28" t="inlineStr">
        <is>
          <t xml:space="preserve">FISCALIZACION A DESTIEMPO </t>
        </is>
      </c>
      <c r="J34" s="27" t="n"/>
    </row>
    <row r="35">
      <c r="A35" s="28" t="inlineStr">
        <is>
          <t>TUCACAS</t>
        </is>
      </c>
      <c r="B35" s="18" t="inlineStr">
        <is>
          <t>ADOLFO'S VICAR, C.A</t>
        </is>
      </c>
      <c r="C35" s="18" t="n">
        <v>13200</v>
      </c>
      <c r="D35" s="7" t="n">
        <v>46098</v>
      </c>
      <c r="E35" s="8" t="inlineStr">
        <is>
          <t>RECEPCION</t>
        </is>
      </c>
      <c r="F35" s="28" t="inlineStr">
        <is>
          <t>SUB DANIEL CORDERO</t>
        </is>
      </c>
      <c r="G35" s="22" t="inlineStr">
        <is>
          <t>RECEPCIÓN SIN AUTORIZACIÓN DE CMF.</t>
        </is>
      </c>
      <c r="H35" s="22">
        <f>IF(G35="","",VLOOKUP(G35,REFERENCIA!$A$1:$B$14,2,0))</f>
        <v/>
      </c>
      <c r="I35" s="28" t="inlineStr">
        <is>
          <t>RECEPCION SIN AUTORIZACION DE CMF</t>
        </is>
      </c>
      <c r="J35" s="27" t="n"/>
    </row>
    <row r="36">
      <c r="A36" s="28" t="inlineStr">
        <is>
          <t>NAGUANAGUA</t>
        </is>
      </c>
      <c r="B36" s="18" t="inlineStr">
        <is>
          <t>AGROPECUARIA PUNTA LARGA, C.A</t>
        </is>
      </c>
      <c r="C36" s="18" t="n">
        <v>2911</v>
      </c>
      <c r="D36" s="7" t="n">
        <v>46099</v>
      </c>
      <c r="E36" s="8" t="inlineStr">
        <is>
          <t>RECEPCION</t>
        </is>
      </c>
      <c r="F36" s="28" t="inlineStr">
        <is>
          <t>LPCP VALERIA LAMEDA</t>
        </is>
      </c>
      <c r="G36" s="22" t="inlineStr">
        <is>
          <t>DIFERENCIA ENTRE CANTIDAD FISCALIZADA Y DOCUMENTO.</t>
        </is>
      </c>
      <c r="H36" s="22">
        <f>IF(G36="","",VLOOKUP(G36,REFERENCIA!$A$1:$B$14,2,0))</f>
        <v/>
      </c>
      <c r="I36" s="28" t="inlineStr">
        <is>
          <t>FALTANTE DE 1KG DE CAMBUR</t>
        </is>
      </c>
      <c r="J36" s="26" t="n">
        <v>1.58</v>
      </c>
    </row>
    <row r="37">
      <c r="A37" s="28" t="inlineStr">
        <is>
          <t>NAGUANAGUA</t>
        </is>
      </c>
      <c r="B37" s="18" t="inlineStr">
        <is>
          <t>ADOLFO'S VICAR, C.A</t>
        </is>
      </c>
      <c r="C37" s="18" t="n">
        <v>13193</v>
      </c>
      <c r="D37" s="7" t="n">
        <v>46099</v>
      </c>
      <c r="E37" s="8" t="inlineStr">
        <is>
          <t>RECEPCION</t>
        </is>
      </c>
      <c r="F37" s="28" t="inlineStr">
        <is>
          <t>SUB REINALDO SILVA</t>
        </is>
      </c>
      <c r="G37" s="22" t="inlineStr">
        <is>
          <t>PRODUCTO O SKU DUPLICADO.</t>
        </is>
      </c>
      <c r="H37" s="22">
        <f>IF(G37="","",VLOOKUP(G37,REFERENCIA!$A$1:$B$14,2,0))</f>
        <v/>
      </c>
      <c r="I37" s="28" t="inlineStr">
        <is>
          <t>PRODUCTO/SKU DUPLICADO</t>
        </is>
      </c>
      <c r="J37" s="27" t="n"/>
    </row>
    <row r="38">
      <c r="A38" s="28" t="inlineStr">
        <is>
          <t>NAGUANAGUA</t>
        </is>
      </c>
      <c r="B38" s="28" t="inlineStr">
        <is>
          <t>INVERSIONES AGROPECUARIA JEANDAVID, C.A</t>
        </is>
      </c>
      <c r="C38" s="28" t="n">
        <v>18168</v>
      </c>
      <c r="D38" s="7" t="n">
        <v>46100</v>
      </c>
      <c r="E38" s="8" t="inlineStr">
        <is>
          <t>RECEPCION</t>
        </is>
      </c>
      <c r="F38" s="28" t="inlineStr">
        <is>
          <t>PCP ANDRES ARCILA</t>
        </is>
      </c>
      <c r="G38" s="22" t="inlineStr">
        <is>
          <t>NÚMERO DE CONTROL O DOCUMENTO ERRÓNEO.</t>
        </is>
      </c>
      <c r="H38" s="22">
        <f>IF(G38="","",VLOOKUP(G38,REFERENCIA!$A$1:$B$14,2,0))</f>
        <v/>
      </c>
      <c r="I38" s="28" t="inlineStr">
        <is>
          <t>NUMERO DE CONTROL INCORRECTO</t>
        </is>
      </c>
      <c r="J38" s="27" t="n"/>
    </row>
    <row r="39">
      <c r="A39" s="28" t="inlineStr">
        <is>
          <t>TUCACAS</t>
        </is>
      </c>
      <c r="B39" s="28" t="inlineStr">
        <is>
          <t>ADOLFO'S VICAR, C.A</t>
        </is>
      </c>
      <c r="C39" s="28" t="n">
        <v>13221</v>
      </c>
      <c r="D39" s="7" t="n">
        <v>46101</v>
      </c>
      <c r="E39" s="8" t="inlineStr">
        <is>
          <t>RECEPCION</t>
        </is>
      </c>
      <c r="F39" s="28" t="inlineStr">
        <is>
          <t>SUB GENESIS COBOS</t>
        </is>
      </c>
      <c r="G39" s="22" t="inlineStr">
        <is>
          <t>RECEPCIÓN SIN AUTORIZACIÓN DE CMF.</t>
        </is>
      </c>
      <c r="H39" s="22">
        <f>IF(G39="","",VLOOKUP(G39,REFERENCIA!$A$1:$B$14,2,0))</f>
        <v/>
      </c>
      <c r="I39" s="28" t="inlineStr">
        <is>
          <t>RECEPCION SIN AUTORIZACION DE CMF</t>
        </is>
      </c>
      <c r="J39" s="27" t="n"/>
    </row>
    <row r="40">
      <c r="A40" s="28" t="inlineStr">
        <is>
          <t>TUCACAS</t>
        </is>
      </c>
      <c r="B40" s="18" t="inlineStr">
        <is>
          <t>LUNA DISTRIBUCIONES MASIVA, C.A</t>
        </is>
      </c>
      <c r="C40" s="18" t="n">
        <v>21281</v>
      </c>
      <c r="D40" s="7" t="n">
        <v>46104</v>
      </c>
      <c r="E40" s="8" t="inlineStr">
        <is>
          <t>RECEPCION</t>
        </is>
      </c>
      <c r="F40" s="28" t="inlineStr">
        <is>
          <t>SUB GENESIS COBOS</t>
        </is>
      </c>
      <c r="G40" s="22" t="inlineStr">
        <is>
          <t>DOCUMENTACIÓN ERRÓNEA</t>
        </is>
      </c>
      <c r="H40" s="22">
        <f>IF(G40="","",VLOOKUP(G40,REFERENCIA!$A$1:$B$14,2,0))</f>
        <v/>
      </c>
      <c r="I40" s="28" t="inlineStr">
        <is>
          <t>DOCUMENTO ERRONEO</t>
        </is>
      </c>
      <c r="J40" s="27" t="n"/>
    </row>
    <row r="41" ht="28.8" customHeight="1">
      <c r="A41" s="28" t="inlineStr">
        <is>
          <t>NAGUANAGUA</t>
        </is>
      </c>
      <c r="B41" s="28" t="inlineStr">
        <is>
          <t>INVERSIONES LAS PATRONAS, C.A</t>
        </is>
      </c>
      <c r="C41" s="28" t="n">
        <v>100</v>
      </c>
      <c r="D41" s="7" t="n">
        <v>46104</v>
      </c>
      <c r="E41" s="8" t="inlineStr">
        <is>
          <t>RECEPCION</t>
        </is>
      </c>
      <c r="F41" s="28" t="inlineStr">
        <is>
          <t>SUB VALERIA LAMEDA</t>
        </is>
      </c>
      <c r="G41" s="22" t="inlineStr">
        <is>
          <t>NO FISCALIZÓ UNO O VARIOS PRODUCTOS</t>
        </is>
      </c>
      <c r="H41" s="22">
        <f>IF(G41="","",VLOOKUP(G41,REFERENCIA!$A$1:$B$14,2,0))</f>
        <v/>
      </c>
      <c r="I41" s="28" t="inlineStr">
        <is>
          <t>NO FISCALIZÓ  UNO O MAS PRODUCTOS, 58.8KG DE PATILLA</t>
        </is>
      </c>
      <c r="J41" s="23" t="n">
        <v>39.98</v>
      </c>
    </row>
    <row r="42">
      <c r="A42" s="2" t="inlineStr">
        <is>
          <t>BOSQUE</t>
        </is>
      </c>
      <c r="B42" s="28" t="inlineStr">
        <is>
          <t>ADOLFO'S VICAR, C.A</t>
        </is>
      </c>
      <c r="C42" s="18" t="n">
        <v>13237</v>
      </c>
      <c r="D42" s="7" t="n">
        <v>46104</v>
      </c>
      <c r="E42" s="8" t="inlineStr">
        <is>
          <t>RECEPCION</t>
        </is>
      </c>
      <c r="F42" s="28" t="inlineStr">
        <is>
          <t>SUB VIRGILIO ARAUJO</t>
        </is>
      </c>
      <c r="G42" s="22" t="inlineStr">
        <is>
          <t>ERROR DE KG EN TARA.</t>
        </is>
      </c>
      <c r="H42" s="22">
        <f>IF(G42="","",VLOOKUP(G42,REFERENCIA!$A$1:$B$14,2,0))</f>
        <v/>
      </c>
      <c r="I42" s="28" t="inlineStr">
        <is>
          <t>ERROR EN TARA DE VAINITA, 900GR</t>
        </is>
      </c>
      <c r="J42" s="23" t="n">
        <v>1.8</v>
      </c>
    </row>
    <row r="43" ht="28.8" customHeight="1">
      <c r="A43" s="2" t="inlineStr">
        <is>
          <t>BOSQUE</t>
        </is>
      </c>
      <c r="B43" s="28" t="inlineStr">
        <is>
          <t>PROCESADORA DE VEGETALES Y FRUTAS PROVEFRU, C.A</t>
        </is>
      </c>
      <c r="C43" s="18" t="n">
        <v>21542</v>
      </c>
      <c r="D43" s="7" t="n">
        <v>46105</v>
      </c>
      <c r="E43" s="8" t="inlineStr">
        <is>
          <t>RECEPCION</t>
        </is>
      </c>
      <c r="F43" s="28" t="inlineStr">
        <is>
          <t>SUB VIRGILIO ARAUJO</t>
        </is>
      </c>
      <c r="G43" s="22" t="inlineStr">
        <is>
          <t>NÚMERO DE CONTROL O DOCUMENTO ERRÓNEO.</t>
        </is>
      </c>
      <c r="H43" s="22">
        <f>IF(G43="","",VLOOKUP(G43,REFERENCIA!$A$1:$B$14,2,0))</f>
        <v/>
      </c>
      <c r="I43" s="28" t="inlineStr">
        <is>
          <t>NUMERO DE CONTROL INCORRECTO</t>
        </is>
      </c>
      <c r="J43" s="27" t="n"/>
    </row>
    <row r="44">
      <c r="A44" s="28" t="inlineStr">
        <is>
          <t>TUCACAS</t>
        </is>
      </c>
      <c r="B44" s="18" t="inlineStr">
        <is>
          <t>PRODUCTOS ALIMEX, C.A</t>
        </is>
      </c>
      <c r="C44" s="18" t="n">
        <v>38731</v>
      </c>
      <c r="D44" s="7" t="n">
        <v>46106</v>
      </c>
      <c r="E44" s="8" t="inlineStr">
        <is>
          <t>RECEPCION</t>
        </is>
      </c>
      <c r="F44" s="28" t="inlineStr">
        <is>
          <t>SUB CARLOS PARACO</t>
        </is>
      </c>
      <c r="G44" s="22" t="inlineStr">
        <is>
          <t>DOCUMENTO NO LEGIBLE</t>
        </is>
      </c>
      <c r="H44" s="22">
        <f>IF(G44="","",VLOOKUP(G44,REFERENCIA!$A$1:$B$14,2,0))</f>
        <v/>
      </c>
      <c r="I44" s="28" t="inlineStr">
        <is>
          <t>DOCUMENTO NO LEGIBLE</t>
        </is>
      </c>
      <c r="J44" s="27" t="n"/>
    </row>
    <row r="45">
      <c r="A45" s="28" t="inlineStr">
        <is>
          <t>NAGUANAGUA</t>
        </is>
      </c>
      <c r="B45" s="18" t="inlineStr">
        <is>
          <t>ADOLFO'S VICAR, C.A</t>
        </is>
      </c>
      <c r="C45" s="18" t="n">
        <v>13260</v>
      </c>
      <c r="D45" s="7" t="n">
        <v>46106</v>
      </c>
      <c r="E45" s="8" t="inlineStr">
        <is>
          <t>RECEPCION</t>
        </is>
      </c>
      <c r="F45" s="28" t="inlineStr">
        <is>
          <t>PCP JOSE MALUENGA</t>
        </is>
      </c>
      <c r="G45" s="22" t="inlineStr">
        <is>
          <t>NO FISCALIZÓ UNO O VARIOS PRODUCTOS</t>
        </is>
      </c>
      <c r="H45" s="22">
        <f>IF(G45="","",VLOOKUP(G45,REFERENCIA!$A$1:$B$14,2,0))</f>
        <v/>
      </c>
      <c r="I45" s="28" t="inlineStr">
        <is>
          <t>NO FISCALIZÓ REPOLLO MORADO 20KG</t>
        </is>
      </c>
      <c r="J45" s="23" t="n">
        <v>23.8</v>
      </c>
    </row>
    <row r="46">
      <c r="A46" s="28" t="inlineStr">
        <is>
          <t>TUCACAS</t>
        </is>
      </c>
      <c r="B46" s="18" t="inlineStr">
        <is>
          <t>ALIMENTOS HEINZ, C.A</t>
        </is>
      </c>
      <c r="C46" s="18" t="n">
        <v>2220846</v>
      </c>
      <c r="D46" s="7" t="n">
        <v>46107</v>
      </c>
      <c r="E46" s="8" t="inlineStr">
        <is>
          <t>RECEPCION</t>
        </is>
      </c>
      <c r="F46" s="28" t="inlineStr">
        <is>
          <t>SUB DANIEL CORDERO</t>
        </is>
      </c>
      <c r="G46" s="22" t="inlineStr">
        <is>
          <t>RECEPCIÓN SIN AUTORIZACIÓN DE CMF.</t>
        </is>
      </c>
      <c r="H46" s="22">
        <f>IF(G46="","",VLOOKUP(G46,REFERENCIA!$A$1:$B$14,2,0))</f>
        <v/>
      </c>
      <c r="I46" s="28" t="inlineStr">
        <is>
          <t>RECEPCION SIN AUTORIZACION DE CMF</t>
        </is>
      </c>
      <c r="J46" s="27" t="n"/>
    </row>
    <row r="47">
      <c r="A47" s="28" t="inlineStr">
        <is>
          <t>TUCACAS</t>
        </is>
      </c>
      <c r="B47" s="18" t="inlineStr">
        <is>
          <t>ALIMENTOS HEINZ, C.A</t>
        </is>
      </c>
      <c r="C47" s="28" t="n">
        <v>2220831</v>
      </c>
      <c r="D47" s="7" t="n">
        <v>46107</v>
      </c>
      <c r="E47" s="8" t="inlineStr">
        <is>
          <t>RECEPCION</t>
        </is>
      </c>
      <c r="F47" s="28" t="inlineStr">
        <is>
          <t>SUB DANIEL CORDERO</t>
        </is>
      </c>
      <c r="G47" s="22" t="inlineStr">
        <is>
          <t>RECEPCIÓN SIN AUTORIZACIÓN DE CMF.</t>
        </is>
      </c>
      <c r="H47" s="22">
        <f>IF(G47="","",VLOOKUP(G47,REFERENCIA!$A$1:$B$14,2,0))</f>
        <v/>
      </c>
      <c r="I47" s="28" t="inlineStr">
        <is>
          <t>RECEPCION SIN AUTORIZACION DE CMF</t>
        </is>
      </c>
      <c r="J47" s="27" t="n"/>
    </row>
    <row r="48">
      <c r="A48" s="2" t="inlineStr">
        <is>
          <t>TUCACAS</t>
        </is>
      </c>
      <c r="B48" s="18" t="inlineStr">
        <is>
          <t>ALIMENTOS HEINZ, C.A</t>
        </is>
      </c>
      <c r="C48" s="18" t="n">
        <v>2220833</v>
      </c>
      <c r="D48" s="4" t="n">
        <v>46107</v>
      </c>
      <c r="E48" s="5" t="inlineStr">
        <is>
          <t>RECEPCION</t>
        </is>
      </c>
      <c r="F48" s="27" t="inlineStr">
        <is>
          <t>SUB DANIEL CORDERO</t>
        </is>
      </c>
      <c r="G48" s="22" t="inlineStr">
        <is>
          <t>RECEPCIÓN SIN AUTORIZACIÓN DE CMF.</t>
        </is>
      </c>
      <c r="H48" s="22">
        <f>IF(G48="","",VLOOKUP(G48,REFERENCIA!$A$1:$B$14,2,0))</f>
        <v/>
      </c>
      <c r="I48" s="27" t="inlineStr">
        <is>
          <t>RECEPCION SIN AUTORIZACION DE CMF</t>
        </is>
      </c>
      <c r="J48" s="27" t="n"/>
    </row>
    <row r="49">
      <c r="A49" s="2" t="inlineStr">
        <is>
          <t>TUCACAS</t>
        </is>
      </c>
      <c r="B49" s="18" t="inlineStr">
        <is>
          <t>ALIMENTOS HEINZ, C.A</t>
        </is>
      </c>
      <c r="C49" s="18" t="n">
        <v>2220847</v>
      </c>
      <c r="D49" s="4" t="n">
        <v>46107</v>
      </c>
      <c r="E49" s="5" t="inlineStr">
        <is>
          <t>RECEPCION</t>
        </is>
      </c>
      <c r="F49" s="27" t="inlineStr">
        <is>
          <t>SUB DANIEL CORDERO</t>
        </is>
      </c>
      <c r="G49" s="22" t="inlineStr">
        <is>
          <t>RECEPCIÓN SIN AUTORIZACIÓN DE CMF.</t>
        </is>
      </c>
      <c r="H49" s="22">
        <f>IF(G49="","",VLOOKUP(G49,REFERENCIA!$A$1:$B$14,2,0))</f>
        <v/>
      </c>
      <c r="I49" s="27" t="inlineStr">
        <is>
          <t>RECEPCION SIN AUTORIZACION DE CMF</t>
        </is>
      </c>
      <c r="J49" s="27" t="n"/>
    </row>
    <row r="50">
      <c r="A50" s="2" t="inlineStr">
        <is>
          <t>TUCACAS</t>
        </is>
      </c>
      <c r="B50" s="18" t="inlineStr">
        <is>
          <t>ALIMENTOS HEINZ, C.A</t>
        </is>
      </c>
      <c r="C50" s="18" t="n">
        <v>2220832</v>
      </c>
      <c r="D50" s="4" t="n">
        <v>46107</v>
      </c>
      <c r="E50" s="5" t="inlineStr">
        <is>
          <t>RECEPCION</t>
        </is>
      </c>
      <c r="F50" s="27" t="inlineStr">
        <is>
          <t>SUB DANIEL CORDERO</t>
        </is>
      </c>
      <c r="G50" s="22" t="inlineStr">
        <is>
          <t>RECEPCIÓN SIN AUTORIZACIÓN DE CMF.</t>
        </is>
      </c>
      <c r="H50" s="22">
        <f>IF(G50="","",VLOOKUP(G50,REFERENCIA!$A$1:$B$14,2,0))</f>
        <v/>
      </c>
      <c r="I50" s="27" t="inlineStr">
        <is>
          <t>RECEPCION SIN AUTORIZACION DE CMF</t>
        </is>
      </c>
      <c r="J50" s="27" t="n"/>
    </row>
    <row r="51">
      <c r="A51" s="2" t="inlineStr">
        <is>
          <t>NAGUANAGUA</t>
        </is>
      </c>
      <c r="B51" s="19" t="inlineStr">
        <is>
          <t>CAVA LUXOR, C.A</t>
        </is>
      </c>
      <c r="C51" s="19" t="n">
        <v>300010881</v>
      </c>
      <c r="D51" s="4" t="n">
        <v>46107</v>
      </c>
      <c r="E51" s="5" t="inlineStr">
        <is>
          <t>RECEPCION</t>
        </is>
      </c>
      <c r="F51" s="27" t="inlineStr">
        <is>
          <t>PCP ANDRES ARCILA</t>
        </is>
      </c>
      <c r="G51" s="22" t="inlineStr">
        <is>
          <t>FISCALIZACIÓN A DESTIEMPO</t>
        </is>
      </c>
      <c r="H51" s="22">
        <f>IF(G51="","",VLOOKUP(G51,REFERENCIA!$A$1:$B$14,2,0))</f>
        <v/>
      </c>
      <c r="I51" s="27" t="inlineStr">
        <is>
          <t xml:space="preserve">FISCALIZACION A DESTIEMPO </t>
        </is>
      </c>
      <c r="J51" s="27" t="n"/>
    </row>
    <row r="52">
      <c r="A52" s="2" t="inlineStr">
        <is>
          <t>BOSQUE</t>
        </is>
      </c>
      <c r="B52" s="18" t="inlineStr">
        <is>
          <t>YEFFERSON MORGADO</t>
        </is>
      </c>
      <c r="C52" s="18" t="n">
        <v>125699</v>
      </c>
      <c r="D52" s="4" t="n">
        <v>46108</v>
      </c>
      <c r="E52" s="5" t="inlineStr">
        <is>
          <t>RECEPCION</t>
        </is>
      </c>
      <c r="F52" s="27" t="inlineStr">
        <is>
          <t>SUB VIRGILIO ARAUJO</t>
        </is>
      </c>
      <c r="G52" s="22" t="inlineStr">
        <is>
          <t>DOCUMENTO NO LEGIBLE</t>
        </is>
      </c>
      <c r="H52" s="22">
        <f>IF(G52="","",VLOOKUP(G52,REFERENCIA!$A$1:$B$14,2,0))</f>
        <v/>
      </c>
      <c r="I52" s="27" t="inlineStr">
        <is>
          <t>DOCUMENTO NO LEGIBLE</t>
        </is>
      </c>
      <c r="J52" s="27" t="n"/>
    </row>
    <row r="53">
      <c r="A53" s="2" t="inlineStr">
        <is>
          <t>BOSQUE</t>
        </is>
      </c>
      <c r="B53" s="28" t="inlineStr">
        <is>
          <t>RUBROS SANARE, C.A</t>
        </is>
      </c>
      <c r="C53" s="28" t="n">
        <v>2288</v>
      </c>
      <c r="D53" s="4" t="n">
        <v>46111</v>
      </c>
      <c r="E53" s="5" t="inlineStr">
        <is>
          <t>RECEPCION</t>
        </is>
      </c>
      <c r="F53" s="27" t="inlineStr">
        <is>
          <t>SUB VIRGILIO ARAUJO, RECIBIDOR ELIO RICO</t>
        </is>
      </c>
      <c r="G53" s="22" t="inlineStr">
        <is>
          <t>DIFERENCIA ENTRE CANTIDAD FISCALIZADA Y DOCUMENTO.</t>
        </is>
      </c>
      <c r="H53" s="22">
        <f>IF(G53="","",VLOOKUP(G53,REFERENCIA!$A$1:$B$14,2,0))</f>
        <v/>
      </c>
      <c r="I53" s="27" t="inlineStr">
        <is>
          <t>FALTANTE DE 13KG DE PEPIINO</t>
        </is>
      </c>
      <c r="J53" s="26" t="n">
        <v>23.65</v>
      </c>
    </row>
    <row r="54">
      <c r="A54" s="2" t="inlineStr">
        <is>
          <t>BOSQUE</t>
        </is>
      </c>
      <c r="B54" s="28" t="inlineStr">
        <is>
          <t>SUPLIDORA EL VIGIA</t>
        </is>
      </c>
      <c r="C54" s="28" t="n">
        <v>5893</v>
      </c>
      <c r="D54" s="4" t="n">
        <v>46111</v>
      </c>
      <c r="E54" s="5" t="inlineStr">
        <is>
          <t>RECEPCION</t>
        </is>
      </c>
      <c r="F54" s="27" t="inlineStr">
        <is>
          <t>SUB MARIANGEL GRATEROL</t>
        </is>
      </c>
      <c r="G54" s="22" t="inlineStr">
        <is>
          <t>NO FISCALIZÓ UNO O VARIOS PRODUCTOS</t>
        </is>
      </c>
      <c r="H54" s="22">
        <f>IF(G54="","",VLOOKUP(G54,REFERENCIA!$A$1:$B$14,2,0))</f>
        <v/>
      </c>
      <c r="I54" s="27" t="inlineStr">
        <is>
          <t xml:space="preserve">NO FISCALIZÓ  134.7KG DE PLATANO </t>
        </is>
      </c>
      <c r="J54" s="23" t="n">
        <v>181.01</v>
      </c>
    </row>
    <row r="55" ht="15" customHeight="1">
      <c r="H55">
        <f>IF(G55="","",VLOOKUP(G55,REFERENCIA!$A$1:$B$14,2,0))</f>
        <v/>
      </c>
    </row>
    <row r="56" ht="15" customHeight="1">
      <c r="H56">
        <f>IF(G56="","",VLOOKUP(G56,REFERENCIA!$A$1:$B$14,2,0))</f>
        <v/>
      </c>
    </row>
    <row r="57" ht="15" customHeight="1">
      <c r="H57">
        <f>IF(G57="","",VLOOKUP(G57,REFERENCIA!$A$1:$B$14,2,0))</f>
        <v/>
      </c>
    </row>
    <row r="58" ht="15" customHeight="1">
      <c r="H58">
        <f>IF(G58="","",VLOOKUP(G58,REFERENCIA!$A$1:$B$14,2,0))</f>
        <v/>
      </c>
    </row>
    <row r="59" ht="15" customHeight="1">
      <c r="H59">
        <f>IF(G59="","",VLOOKUP(G59,REFERENCIA!$A$1:$B$14,2,0))</f>
        <v/>
      </c>
    </row>
    <row r="60" ht="15" customHeight="1">
      <c r="H60">
        <f>IF(G60="","",VLOOKUP(G60,REFERENCIA!$A$1:$B$14,2,0))</f>
        <v/>
      </c>
    </row>
    <row r="61" ht="15" customHeight="1">
      <c r="H61">
        <f>IF(G61="","",VLOOKUP(G61,REFERENCIA!$A$1:$B$14,2,0))</f>
        <v/>
      </c>
    </row>
    <row r="62" ht="15" customHeight="1">
      <c r="H62">
        <f>IF(G62="","",VLOOKUP(G62,REFERENCIA!$A$1:$B$14,2,0))</f>
        <v/>
      </c>
    </row>
    <row r="63" ht="15" customHeight="1">
      <c r="H63">
        <f>IF(G63="","",VLOOKUP(G63,REFERENCIA!$A$1:$B$14,2,0))</f>
        <v/>
      </c>
    </row>
    <row r="64" ht="15" customHeight="1">
      <c r="H64">
        <f>IF(G64="","",VLOOKUP(G64,REFERENCIA!$A$1:$B$14,2,0))</f>
        <v/>
      </c>
    </row>
    <row r="65" ht="15" customHeight="1">
      <c r="H65">
        <f>IF(G65="","",VLOOKUP(G65,REFERENCIA!$A$1:$B$14,2,0))</f>
        <v/>
      </c>
    </row>
    <row r="66" ht="15" customHeight="1">
      <c r="H66">
        <f>IF(G66="","",VLOOKUP(G66,REFERENCIA!$A$1:$B$14,2,0))</f>
        <v/>
      </c>
    </row>
    <row r="67" ht="15" customHeight="1">
      <c r="H67">
        <f>IF(G67="","",VLOOKUP(G67,REFERENCIA!$A$1:$B$14,2,0))</f>
        <v/>
      </c>
    </row>
    <row r="68" ht="15" customHeight="1">
      <c r="H68">
        <f>IF(G68="","",VLOOKUP(G68,REFERENCIA!$A$1:$B$14,2,0))</f>
        <v/>
      </c>
    </row>
    <row r="69" ht="15" customHeight="1">
      <c r="H69">
        <f>IF(G69="","",VLOOKUP(G69,REFERENCIA!$A$1:$B$14,2,0))</f>
        <v/>
      </c>
    </row>
    <row r="70" ht="15" customHeight="1">
      <c r="H70">
        <f>IF(G70="","",VLOOKUP(G70,REFERENCIA!$A$1:$B$14,2,0))</f>
        <v/>
      </c>
    </row>
    <row r="71" ht="15" customHeight="1">
      <c r="H71">
        <f>IF(G71="","",VLOOKUP(G71,REFERENCIA!$A$1:$B$14,2,0))</f>
        <v/>
      </c>
    </row>
    <row r="72" ht="15" customHeight="1">
      <c r="H72">
        <f>IF(G72="","",VLOOKUP(G72,REFERENCIA!$A$1:$B$14,2,0))</f>
        <v/>
      </c>
    </row>
    <row r="73" ht="15" customHeight="1">
      <c r="H73">
        <f>IF(G73="","",VLOOKUP(G73,REFERENCIA!$A$1:$B$14,2,0))</f>
        <v/>
      </c>
    </row>
    <row r="74" ht="15" customHeight="1">
      <c r="H74">
        <f>IF(G74="","",VLOOKUP(G74,REFERENCIA!$A$1:$B$14,2,0))</f>
        <v/>
      </c>
    </row>
    <row r="75" ht="15" customHeight="1">
      <c r="H75">
        <f>IF(G75="","",VLOOKUP(G75,REFERENCIA!$A$1:$B$14,2,0))</f>
        <v/>
      </c>
    </row>
    <row r="76" ht="15" customHeight="1">
      <c r="H76">
        <f>IF(G76="","",VLOOKUP(G76,REFERENCIA!$A$1:$B$14,2,0))</f>
        <v/>
      </c>
    </row>
    <row r="77" ht="15" customHeight="1">
      <c r="H77">
        <f>IF(G77="","",VLOOKUP(G77,REFERENCIA!$A$1:$B$14,2,0))</f>
        <v/>
      </c>
    </row>
    <row r="78" ht="15" customHeight="1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</sheetData>
  <conditionalFormatting sqref="B12:B13">
    <cfRule type="duplicateValues" priority="11" dxfId="0"/>
    <cfRule type="duplicateValues" priority="12" dxfId="0"/>
  </conditionalFormatting>
  <conditionalFormatting sqref="B31:B32">
    <cfRule type="duplicateValues" priority="13" dxfId="0"/>
    <cfRule type="duplicateValues" priority="14" dxfId="0"/>
  </conditionalFormatting>
  <conditionalFormatting sqref="B40">
    <cfRule type="duplicateValues" priority="15" dxfId="0"/>
    <cfRule type="duplicateValues" priority="16" dxfId="0"/>
  </conditionalFormatting>
  <conditionalFormatting sqref="B41:B43">
    <cfRule type="duplicateValues" priority="17" dxfId="0"/>
    <cfRule type="duplicateValues" priority="18" dxfId="0"/>
  </conditionalFormatting>
  <conditionalFormatting sqref="C12:C13">
    <cfRule type="duplicateValues" priority="1" dxfId="0"/>
    <cfRule type="duplicateValues" priority="2" dxfId="0"/>
  </conditionalFormatting>
  <conditionalFormatting sqref="C31:C32">
    <cfRule type="duplicateValues" priority="3" dxfId="0"/>
    <cfRule type="duplicateValues" priority="4" dxfId="0"/>
  </conditionalFormatting>
  <conditionalFormatting sqref="C40">
    <cfRule type="duplicateValues" priority="5" dxfId="0"/>
    <cfRule type="duplicateValues" priority="6" dxfId="0"/>
  </conditionalFormatting>
  <conditionalFormatting sqref="C41">
    <cfRule type="duplicateValues" priority="7" dxfId="0"/>
    <cfRule type="duplicateValues" priority="8" dxfId="0"/>
  </conditionalFormatting>
  <conditionalFormatting sqref="C49:C50">
    <cfRule type="duplicateValues" priority="9" dxfId="0"/>
    <cfRule type="duplicateValues" priority="10" dxfId="0"/>
  </conditionalFormatting>
  <dataValidations count="1">
    <dataValidation sqref="B12:C13 B15:C15 B31:B47 B52:C53 C10 C21 C31:C41 C44:C46 C49:C50" showDropDown="0" showInputMessage="1" showErrorMessage="1" allowBlank="1" type="custom">
      <formula1>22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9.109375" defaultRowHeight="14.4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 ht="15" customHeight="1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 ht="15" customHeight="1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 ht="15" customHeight="1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 ht="15" customHeight="1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2026-05-15T20:07:19Z</dcterms:modified>
  <cp:lastModifiedBy>garantias</cp:lastModifiedBy>
</cp:coreProperties>
</file>