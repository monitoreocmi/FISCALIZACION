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0"/>
      <scheme val="minor"/>
    </font>
    <font>
      <name val="Calibri"/>
      <family val="2"/>
      <color rgb="FF1A202C"/>
      <sz val="10"/>
      <scheme val="minor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top" wrapText="1"/>
    </xf>
    <xf numFmtId="0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/>
    </xf>
    <xf numFmtId="0" fontId="3" fillId="0" borderId="2" applyAlignment="1" pivotButton="0" quotePrefix="0" xfId="0">
      <alignment horizontal="center" wrapText="1"/>
    </xf>
    <xf numFmtId="0" fontId="2" fillId="0" borderId="4" applyAlignment="1" pivotButton="0" quotePrefix="0" xfId="0">
      <alignment horizontal="center"/>
    </xf>
    <xf numFmtId="0" fontId="2" fillId="3" borderId="1" applyAlignment="1" pivotButton="0" quotePrefix="0" xfId="0">
      <alignment horizontal="center" wrapText="1"/>
    </xf>
    <xf numFmtId="14" fontId="2" fillId="3" borderId="3" applyAlignment="1" pivotButton="0" quotePrefix="0" xfId="0">
      <alignment horizontal="center"/>
    </xf>
    <xf numFmtId="14" fontId="2" fillId="0" borderId="3" applyAlignment="1" pivotButton="0" quotePrefix="0" xfId="0">
      <alignment horizontal="center"/>
    </xf>
    <xf numFmtId="0" fontId="3" fillId="0" borderId="2" applyAlignment="1" pivotButton="0" quotePrefix="0" xfId="0">
      <alignment horizontal="center" vertical="justify" wrapText="1"/>
    </xf>
    <xf numFmtId="0" fontId="2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wrapText="1"/>
    </xf>
    <xf numFmtId="0" fontId="2" fillId="0" borderId="0" pivotButton="0" quotePrefix="0" xfId="0"/>
    <xf numFmtId="0" fontId="3" fillId="0" borderId="2" applyAlignment="1" pivotButton="0" quotePrefix="0" xfId="0">
      <alignment vertical="center" wrapText="1"/>
    </xf>
    <xf numFmtId="0" fontId="3" fillId="0" borderId="2" applyAlignment="1" pivotButton="0" quotePrefix="0" xfId="0">
      <alignment horizontal="center" vertical="center" wrapText="1"/>
    </xf>
    <xf numFmtId="14" fontId="2" fillId="3" borderId="3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2" fillId="3" borderId="4" applyAlignment="1" pivotButton="0" quotePrefix="0" xfId="0">
      <alignment horizontal="center" vertical="center"/>
    </xf>
    <xf numFmtId="14" fontId="2" fillId="3" borderId="3" applyAlignment="1" pivotButton="0" quotePrefix="0" xfId="0">
      <alignment horizontal="center" wrapText="1"/>
    </xf>
    <xf numFmtId="0" fontId="2" fillId="3" borderId="4" applyAlignment="1" pivotButton="0" quotePrefix="0" xfId="0">
      <alignment horizontal="center" wrapText="1"/>
    </xf>
    <xf numFmtId="0" fontId="2" fillId="0" borderId="0" applyAlignment="1" pivotButton="0" quotePrefix="0" xfId="0">
      <alignment wrapText="1"/>
    </xf>
    <xf numFmtId="0" fontId="2" fillId="3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77" zoomScaleNormal="77" workbookViewId="0">
      <selection activeCell="C5" sqref="C5"/>
    </sheetView>
  </sheetViews>
  <sheetFormatPr baseColWidth="10" defaultColWidth="8.88671875" defaultRowHeight="14.4"/>
  <cols>
    <col width="27" customWidth="1" min="1" max="1"/>
    <col width="36.6640625" customWidth="1" min="2" max="2"/>
    <col width="12" customWidth="1" min="3" max="4"/>
    <col width="18" customWidth="1" min="5" max="6"/>
    <col width="45" customWidth="1" min="7" max="7"/>
    <col width="15" customWidth="1" min="8" max="8"/>
    <col width="39.3320312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1.3" customHeight="1">
      <c r="A2" s="8" t="inlineStr">
        <is>
          <t>VILLAS DE ARAGUA</t>
        </is>
      </c>
      <c r="B2" s="3" t="inlineStr">
        <is>
          <t>INVERSIONES AGROPECUARIA JEANDAVID</t>
        </is>
      </c>
      <c r="C2" s="3" t="inlineStr">
        <is>
          <t>A018840</t>
        </is>
      </c>
      <c r="D2" s="9" t="n">
        <v>46083</v>
      </c>
      <c r="E2" s="5" t="inlineStr">
        <is>
          <t>RECEPCIÓN</t>
        </is>
      </c>
      <c r="F2" s="2" t="inlineStr">
        <is>
          <t>BARBARA BOLIVAR</t>
        </is>
      </c>
      <c r="G2" s="14" t="inlineStr">
        <is>
          <t>FALTA SELLO, FIRMA O CÉDULA.</t>
        </is>
      </c>
      <c r="H2" s="14">
        <f>IF(G2="","",VLOOKUP(G2,REFERENCIA!$A$1:$B$14,2,0))</f>
        <v/>
      </c>
      <c r="I2" s="2" t="inlineStr">
        <is>
          <t xml:space="preserve">FALTA DE SELLO </t>
        </is>
      </c>
      <c r="J2" s="23" t="n"/>
    </row>
    <row r="3" ht="16.95" customHeight="1">
      <c r="A3" s="8" t="inlineStr">
        <is>
          <t>VILLAS DE ARAGUA</t>
        </is>
      </c>
      <c r="B3" s="3" t="inlineStr">
        <is>
          <t>MUSACEUM C.A</t>
        </is>
      </c>
      <c r="C3" s="6" t="n">
        <v>3149</v>
      </c>
      <c r="D3" s="10" t="n">
        <v>46083</v>
      </c>
      <c r="E3" s="7" t="inlineStr">
        <is>
          <t>RECEPCIÓN</t>
        </is>
      </c>
      <c r="F3" s="2" t="inlineStr">
        <is>
          <t>BARBARA BOLIVAR</t>
        </is>
      </c>
      <c r="G3" s="14" t="inlineStr">
        <is>
          <t>NÚMERO DE CONTROL O DOCUMENTO ERRÓNEO.</t>
        </is>
      </c>
      <c r="H3" s="14">
        <f>IF(G3="","",VLOOKUP(G3,REFERENCIA!$A$1:$B$14,2,0))</f>
        <v/>
      </c>
      <c r="I3" s="2" t="inlineStr">
        <is>
          <t>NRO DE FACTURA ERRADO</t>
        </is>
      </c>
      <c r="J3" s="2" t="n"/>
    </row>
    <row r="4" ht="41.4" customHeight="1">
      <c r="A4" s="8" t="inlineStr">
        <is>
          <t>ACACIAS</t>
        </is>
      </c>
      <c r="B4" s="3" t="inlineStr">
        <is>
          <t>AGROPECUARIA LATIN FRUITS C.A</t>
        </is>
      </c>
      <c r="C4" s="3" t="n">
        <v>22297</v>
      </c>
      <c r="D4" s="10" t="n">
        <v>46084</v>
      </c>
      <c r="E4" s="7" t="inlineStr">
        <is>
          <t>DEVOLUCION</t>
        </is>
      </c>
      <c r="F4" s="3" t="inlineStr">
        <is>
          <t>ROSELY RODRIGUEZ</t>
        </is>
      </c>
      <c r="G4" s="14" t="inlineStr">
        <is>
          <t>ERROR DE KG EN TARA.</t>
        </is>
      </c>
      <c r="H4" s="14">
        <f>IF(G4="","",VLOOKUP(G4,REFERENCIA!$A$1:$B$14,2,0))</f>
        <v/>
      </c>
      <c r="I4" s="2" t="inlineStr">
        <is>
          <t>FALTO AGREGAR TARA DE 2.4KG AL PRIMER PESAJE DE MANDARINA Y ÑAME. NO FIZCALIZO  6.6 KG DE YUCA</t>
        </is>
      </c>
      <c r="J4" s="24" t="n">
        <v>9.84</v>
      </c>
    </row>
    <row r="5" ht="21" customHeight="1">
      <c r="A5" s="8" t="inlineStr">
        <is>
          <t>VILLAS DE ARAGUA</t>
        </is>
      </c>
      <c r="B5" s="3" t="inlineStr">
        <is>
          <t>AGROPECUARIA LATIN FRUITS C.A.</t>
        </is>
      </c>
      <c r="C5" s="3" t="n">
        <v>5491</v>
      </c>
      <c r="D5" s="10" t="n">
        <v>46084</v>
      </c>
      <c r="E5" s="7" t="inlineStr">
        <is>
          <t>RECEPCIÓN</t>
        </is>
      </c>
      <c r="F5" s="2" t="inlineStr">
        <is>
          <t>BARBARA BOLIVAR</t>
        </is>
      </c>
      <c r="G5" s="14" t="inlineStr">
        <is>
          <t>ERROR DE KG EN TARA.</t>
        </is>
      </c>
      <c r="H5" s="14">
        <f>IF(G5="","",VLOOKUP(G5,REFERENCIA!$A$1:$B$14,2,0))</f>
        <v/>
      </c>
      <c r="I5" s="11" t="inlineStr">
        <is>
          <t>POR ERROR COLOCARON TARA DE 2.4kG A LOS COCOS POR UNIDAD Y NRO DE FACTURA ERRONEO</t>
        </is>
      </c>
      <c r="J5" s="24" t="n">
        <v>20.7</v>
      </c>
    </row>
    <row r="6" ht="24.75" customHeight="1">
      <c r="A6" s="8" t="inlineStr">
        <is>
          <t>VILLAS DE ARAGUA</t>
        </is>
      </c>
      <c r="B6" s="3" t="inlineStr">
        <is>
          <t>MUSACEUM C.A</t>
        </is>
      </c>
      <c r="C6" s="3" t="n">
        <v>3210</v>
      </c>
      <c r="D6" s="10" t="n">
        <v>46085</v>
      </c>
      <c r="E6" s="7" t="inlineStr">
        <is>
          <t>RECEPCIÓN</t>
        </is>
      </c>
      <c r="F6" s="2" t="inlineStr">
        <is>
          <t>BARBARA BOLIVAR</t>
        </is>
      </c>
      <c r="G6" s="14" t="inlineStr">
        <is>
          <t>NÚMERO DE CONTROL O DOCUMENTO ERRÓNEO.</t>
        </is>
      </c>
      <c r="H6" s="14">
        <f>IF(G6="","",VLOOKUP(G6,REFERENCIA!$A$1:$B$14,2,0))</f>
        <v/>
      </c>
      <c r="I6" s="2" t="inlineStr">
        <is>
          <t>NRO DE FACTURA ERRADO ( 003210)</t>
        </is>
      </c>
      <c r="J6" s="2" t="n"/>
    </row>
    <row r="7" ht="18" customHeight="1">
      <c r="A7" s="8" t="inlineStr">
        <is>
          <t>VILLAS DE ARAGUA</t>
        </is>
      </c>
      <c r="B7" s="3" t="inlineStr">
        <is>
          <t>INVERSIONES DE QUESOS SAN ANTONIO C.A.</t>
        </is>
      </c>
      <c r="C7" s="3" t="inlineStr">
        <is>
          <t>000 822626</t>
        </is>
      </c>
      <c r="D7" s="10" t="n">
        <v>46085</v>
      </c>
      <c r="E7" s="7" t="inlineStr">
        <is>
          <t>RECEPCIÓN</t>
        </is>
      </c>
      <c r="F7" s="3" t="inlineStr">
        <is>
          <t>YOSEPH  RIVAS</t>
        </is>
      </c>
      <c r="G7" s="14" t="inlineStr">
        <is>
          <t>NÚMERO DE CONTROL O DOCUMENTO ERRÓNEO.</t>
        </is>
      </c>
      <c r="H7" s="14">
        <f>IF(G7="","",VLOOKUP(G7,REFERENCIA!$A$1:$B$14,2,0))</f>
        <v/>
      </c>
      <c r="I7" s="2" t="inlineStr">
        <is>
          <t>NRO DE CONTROL ERRADO (00082626)</t>
        </is>
      </c>
      <c r="J7" s="2" t="n"/>
    </row>
    <row r="8">
      <c r="A8" s="8" t="inlineStr">
        <is>
          <t>ACACIAS</t>
        </is>
      </c>
      <c r="B8" s="3" t="inlineStr">
        <is>
          <t>CORPORACION R3, C.A</t>
        </is>
      </c>
      <c r="C8" s="3" t="n">
        <v>22597</v>
      </c>
      <c r="D8" s="10" t="n">
        <v>46086</v>
      </c>
      <c r="E8" s="7" t="inlineStr">
        <is>
          <t>DEVOLUCION</t>
        </is>
      </c>
      <c r="F8" s="4" t="inlineStr">
        <is>
          <t>AIRONDIC JIMENEZ</t>
        </is>
      </c>
      <c r="G8" s="14" t="inlineStr">
        <is>
          <t>NO FISCALIZÓ UNO O VARIOS PRODUCTOS</t>
        </is>
      </c>
      <c r="H8" s="14">
        <f>IF(G8="","",VLOOKUP(G8,REFERENCIA!$A$1:$B$14,2,0))</f>
        <v/>
      </c>
      <c r="I8" s="6" t="inlineStr">
        <is>
          <t>NO FISCALIZO  AREQUIPE DE 250GR</t>
        </is>
      </c>
      <c r="J8" s="2" t="n"/>
    </row>
    <row r="9" ht="25.95" customHeight="1">
      <c r="A9" s="8" t="inlineStr">
        <is>
          <t>ACACIAS</t>
        </is>
      </c>
      <c r="B9" s="11" t="inlineStr">
        <is>
          <t>SUPLIDORA EL VIGIA, COMPAÑIA ANONIMA(SUVICA)</t>
        </is>
      </c>
      <c r="C9" s="3" t="inlineStr">
        <is>
          <t>A004267</t>
        </is>
      </c>
      <c r="D9" s="10" t="n">
        <v>46086</v>
      </c>
      <c r="E9" s="7" t="inlineStr">
        <is>
          <t>RECEPCIÓN</t>
        </is>
      </c>
      <c r="F9" s="4" t="inlineStr">
        <is>
          <t>LOURDES PALACIOS</t>
        </is>
      </c>
      <c r="G9" s="14" t="inlineStr">
        <is>
          <t>ERROR DE KG EN TARA.</t>
        </is>
      </c>
      <c r="H9" s="14">
        <f>IF(G9="","",VLOOKUP(G9,REFERENCIA!$A$1:$B$14,2,0))</f>
        <v/>
      </c>
      <c r="I9" s="11" t="inlineStr">
        <is>
          <t>ERROR EN TARA EN SEGUNDO PESAJE, TARA CORRECTA 2.4KG, 406,8Kg DE PLATANO</t>
        </is>
      </c>
      <c r="J9" s="24" t="n">
        <v>610.2</v>
      </c>
    </row>
    <row r="10" ht="19.65" customHeight="1">
      <c r="A10" s="8" t="inlineStr">
        <is>
          <t>VILLAS DE ARAGUA</t>
        </is>
      </c>
      <c r="B10" s="3" t="inlineStr">
        <is>
          <t>INVERSIONES AGROPECUARIA JEANDAVID, C.A.</t>
        </is>
      </c>
      <c r="C10" s="3" t="inlineStr">
        <is>
          <t>A018891</t>
        </is>
      </c>
      <c r="D10" s="10" t="n">
        <v>46090</v>
      </c>
      <c r="E10" s="7" t="inlineStr">
        <is>
          <t>RECEPCIÓN</t>
        </is>
      </c>
      <c r="F10" s="2" t="inlineStr">
        <is>
          <t>BARBARA BOLIVAR</t>
        </is>
      </c>
      <c r="G10" s="14" t="inlineStr">
        <is>
          <t>PRODUCTO O SKU DUPLICADO.</t>
        </is>
      </c>
      <c r="H10" s="14">
        <f>IF(G10="","",VLOOKUP(G10,REFERENCIA!$A$1:$B$14,2,0))</f>
        <v/>
      </c>
      <c r="I10" s="16" t="inlineStr">
        <is>
          <t>SKU CEBOLLÍN DUPLICADO</t>
        </is>
      </c>
      <c r="J10" s="2" t="n"/>
    </row>
    <row r="11" ht="19.65" customHeight="1">
      <c r="A11" s="8" t="inlineStr">
        <is>
          <t>VILLAS DE ARAGUA</t>
        </is>
      </c>
      <c r="B11" s="3" t="inlineStr">
        <is>
          <t>ADOLFO'S VICAR, C.A.</t>
        </is>
      </c>
      <c r="C11" s="3" t="n">
        <v>13118</v>
      </c>
      <c r="D11" s="10" t="n">
        <v>46090</v>
      </c>
      <c r="E11" s="7" t="inlineStr">
        <is>
          <t>RECEPCIÓN</t>
        </is>
      </c>
      <c r="F11" s="2" t="inlineStr">
        <is>
          <t>BARBARA BOLIVAR</t>
        </is>
      </c>
      <c r="G11" s="14" t="inlineStr">
        <is>
          <t>NÚMERO DE CONTROL O DOCUMENTO ERRÓNEO.</t>
        </is>
      </c>
      <c r="H11" s="14">
        <f>IF(G11="","",VLOOKUP(G11,REFERENCIA!$A$1:$B$14,2,0))</f>
        <v/>
      </c>
      <c r="I11" s="16" t="inlineStr">
        <is>
          <t>NRO DE CONTROL: 0000044918</t>
        </is>
      </c>
      <c r="J11" s="2" t="n"/>
    </row>
    <row r="12">
      <c r="A12" s="8" t="inlineStr">
        <is>
          <t>ACACIAS</t>
        </is>
      </c>
      <c r="B12" s="3" t="inlineStr">
        <is>
          <t>INVERSIONES LAS PATRONAS 2024, C.A.</t>
        </is>
      </c>
      <c r="C12" s="3" t="inlineStr">
        <is>
          <t>000 186</t>
        </is>
      </c>
      <c r="D12" s="10" t="n">
        <v>46091</v>
      </c>
      <c r="E12" s="7" t="inlineStr">
        <is>
          <t>RECEPCIÓN</t>
        </is>
      </c>
      <c r="F12" s="4" t="inlineStr">
        <is>
          <t>DIANA BENAVIDES</t>
        </is>
      </c>
      <c r="G12" s="14" t="inlineStr">
        <is>
          <t>NÚMERO DE CONTROL O DOCUMENTO ERRÓNEO.</t>
        </is>
      </c>
      <c r="H12" s="14">
        <f>IF(G12="","",VLOOKUP(G12,REFERENCIA!$A$1:$B$14,2,0))</f>
        <v/>
      </c>
      <c r="I12" s="2" t="inlineStr">
        <is>
          <t>NRO DE FACTURA: 000183</t>
        </is>
      </c>
      <c r="J12" s="2" t="n"/>
    </row>
    <row r="13" ht="27.6" customHeight="1">
      <c r="A13" s="8" t="inlineStr">
        <is>
          <t>ACACIAS</t>
        </is>
      </c>
      <c r="B13" s="3" t="inlineStr">
        <is>
          <t>GRANOS VICONE, C.A.</t>
        </is>
      </c>
      <c r="C13" s="3" t="inlineStr">
        <is>
          <t>*0000001669</t>
        </is>
      </c>
      <c r="D13" s="10" t="n">
        <v>46091</v>
      </c>
      <c r="E13" s="7" t="inlineStr">
        <is>
          <t>RECEPCIÓN</t>
        </is>
      </c>
      <c r="F13" s="4" t="inlineStr">
        <is>
          <t>GIOVASMELY GOMEZ</t>
        </is>
      </c>
      <c r="G13" s="14" t="inlineStr">
        <is>
          <t>NO FISCALIZÓ UNO O VARIOS PRODUCTOS</t>
        </is>
      </c>
      <c r="H13" s="14">
        <f>IF(G13="","",VLOOKUP(G13,REFERENCIA!$A$1:$B$14,2,0))</f>
        <v/>
      </c>
      <c r="I13" s="12" t="inlineStr">
        <is>
          <t>NO FISCALIZÓ 1  BULTO DE FORORO VICONE Y SKU AVENA EN HOJUELA DUPLICADO</t>
        </is>
      </c>
      <c r="J13" s="24" t="n">
        <v>20.16</v>
      </c>
    </row>
    <row r="14" ht="41.4" customHeight="1">
      <c r="A14" s="8" t="inlineStr">
        <is>
          <t>VILLAS DE ARAGUA</t>
        </is>
      </c>
      <c r="B14" s="3" t="inlineStr">
        <is>
          <t>ADOLFO'S VICAR, C.A.</t>
        </is>
      </c>
      <c r="C14" s="3" t="n">
        <v>13138</v>
      </c>
      <c r="D14" s="10" t="n">
        <v>46092</v>
      </c>
      <c r="E14" s="7" t="inlineStr">
        <is>
          <t>RECEPCIÓN</t>
        </is>
      </c>
      <c r="F14" s="2" t="inlineStr">
        <is>
          <t>BARBARA BOLIVAR</t>
        </is>
      </c>
      <c r="G14" s="14" t="inlineStr">
        <is>
          <t>PRODUCTO O SKU NO PERTENECE A LA RECEPCIÓN.</t>
        </is>
      </c>
      <c r="H14" s="14">
        <f>IF(G14="","",VLOOKUP(G14,REFERENCIA!$A$1:$B$14,2,0))</f>
        <v/>
      </c>
      <c r="I14" s="13" t="inlineStr">
        <is>
          <t>SKU DUPLICADO DE CHAYOTA ,QUITAR  AÑADIR CALABACIN NO FISCALIZADO, SE RECUPERO 50,2KG</t>
        </is>
      </c>
      <c r="J14" s="24" t="n">
        <v>42.66</v>
      </c>
    </row>
    <row r="15" ht="27.6" customHeight="1">
      <c r="A15" s="8" t="inlineStr">
        <is>
          <t>VILLAS DE ARAGUA</t>
        </is>
      </c>
      <c r="B15" s="3" t="inlineStr">
        <is>
          <t>DISPOAVES 95, C.A.</t>
        </is>
      </c>
      <c r="C15" s="3" t="inlineStr">
        <is>
          <t>0 1231</t>
        </is>
      </c>
      <c r="D15" s="10" t="n">
        <v>46092</v>
      </c>
      <c r="E15" s="7" t="inlineStr">
        <is>
          <t>RECEPCIÓN</t>
        </is>
      </c>
      <c r="F15" s="3" t="inlineStr">
        <is>
          <t>FANNY VEGAS</t>
        </is>
      </c>
      <c r="G15" s="14" t="inlineStr">
        <is>
          <t>ERROR DE KG EN TARA.</t>
        </is>
      </c>
      <c r="H15" s="14">
        <f>IF(G15="","",VLOOKUP(G15,REFERENCIA!$A$1:$B$14,2,0))</f>
        <v/>
      </c>
      <c r="I15" s="2" t="inlineStr">
        <is>
          <t xml:space="preserve">ERROR DE TARA EN PESAJE, RECUPERADO 296,6KG DE POLLO D MILNESA </t>
        </is>
      </c>
      <c r="J15" s="24" t="n">
        <v>1483.03</v>
      </c>
    </row>
    <row r="16">
      <c r="A16" s="8" t="inlineStr">
        <is>
          <t>ACACIAS</t>
        </is>
      </c>
      <c r="B16" s="3" t="inlineStr">
        <is>
          <t>INDUSTRIA LACTEA VENEZOLANA, C.A.(PARMALAT)</t>
        </is>
      </c>
      <c r="C16" s="3" t="n">
        <v>6200010272</v>
      </c>
      <c r="D16" s="10" t="n">
        <v>46093</v>
      </c>
      <c r="E16" s="7" t="inlineStr">
        <is>
          <t>RECEPCIÓN</t>
        </is>
      </c>
      <c r="F16" s="4" t="inlineStr">
        <is>
          <t>DIANA BENAVIDES</t>
        </is>
      </c>
      <c r="G16" s="14" t="inlineStr">
        <is>
          <t>NO FISCALIZÓ UNO O VARIOS PRODUCTOS</t>
        </is>
      </c>
      <c r="H16" s="14">
        <f>IF(G16="","",VLOOKUP(G16,REFERENCIA!$A$1:$B$14,2,0))</f>
        <v/>
      </c>
      <c r="I16" s="12" t="inlineStr">
        <is>
          <t>NO FISCALIZÓ FRIGURT LIQUIDO PINA</t>
        </is>
      </c>
      <c r="J16" s="24" t="n">
        <v>11.94</v>
      </c>
    </row>
    <row r="17">
      <c r="A17" s="8" t="inlineStr">
        <is>
          <t>VILLAS DE ARAGUA</t>
        </is>
      </c>
      <c r="B17" s="3" t="inlineStr">
        <is>
          <t>ADOLFO'S VICAR, C.A.</t>
        </is>
      </c>
      <c r="C17" s="3" t="n">
        <v>13166</v>
      </c>
      <c r="D17" s="9" t="n">
        <v>46094</v>
      </c>
      <c r="E17" s="5" t="inlineStr">
        <is>
          <t>RECEPCIÓN</t>
        </is>
      </c>
      <c r="F17" s="4" t="inlineStr">
        <is>
          <t>TAIRON PINEDA</t>
        </is>
      </c>
      <c r="G17" s="14" t="inlineStr">
        <is>
          <t>NÚMERO DE CONTROL O DOCUMENTO ERRÓNEO.</t>
        </is>
      </c>
      <c r="H17" s="14">
        <f>IF(G17="","",VLOOKUP(G17,REFERENCIA!$A$1:$B$14,2,0))</f>
        <v/>
      </c>
      <c r="I17" s="6" t="inlineStr">
        <is>
          <t>NRO DE CONTROL: 0000044966</t>
        </is>
      </c>
      <c r="J17" s="2" t="n"/>
    </row>
    <row r="18" ht="41.4" customHeight="1">
      <c r="A18" s="8" t="inlineStr">
        <is>
          <t>ACACIAS</t>
        </is>
      </c>
      <c r="B18" s="4" t="inlineStr">
        <is>
          <t>AGROPECUARIA LATIN FRUITS C.A.</t>
        </is>
      </c>
      <c r="C18" s="4" t="inlineStr">
        <is>
          <t>00 5685</t>
        </is>
      </c>
      <c r="D18" s="9" t="n">
        <v>46094</v>
      </c>
      <c r="E18" s="5" t="inlineStr">
        <is>
          <t>RECEPCIÓN</t>
        </is>
      </c>
      <c r="F18" s="4" t="inlineStr">
        <is>
          <t>DIANA BENAVIDES</t>
        </is>
      </c>
      <c r="G18" s="14" t="inlineStr">
        <is>
          <t>DIFERENCIA ENTRE CANTIDAD FISCALIZADA Y DOCUMENTO.</t>
        </is>
      </c>
      <c r="H18" s="14">
        <f>IF(G18="","",VLOOKUP(G18,REFERENCIA!$A$1:$B$14,2,0))</f>
        <v/>
      </c>
      <c r="I18" s="15" t="inlineStr">
        <is>
          <t>FALTANTE DE 0,2KG DE DURAZNO JARILLAZO CON LO DOCUMENTADO. CANCELADO POR DIANA</t>
        </is>
      </c>
      <c r="J18" s="25" t="n">
        <v>1.49</v>
      </c>
    </row>
    <row r="19" ht="41.4" customHeight="1">
      <c r="A19" s="8" t="inlineStr">
        <is>
          <t>VILLAS DE ARAGUA</t>
        </is>
      </c>
      <c r="B19" s="3" t="inlineStr">
        <is>
          <t>LA CARIDAD C.A.</t>
        </is>
      </c>
      <c r="C19" s="3" t="inlineStr">
        <is>
          <t>E39764</t>
        </is>
      </c>
      <c r="D19" s="9" t="n">
        <v>46098</v>
      </c>
      <c r="E19" s="5" t="inlineStr">
        <is>
          <t>RECEPCIÓN</t>
        </is>
      </c>
      <c r="F19" s="3" t="inlineStr">
        <is>
          <t>FANNY VEGAS</t>
        </is>
      </c>
      <c r="G19" s="14" t="inlineStr">
        <is>
          <t>ERROR DE KG EN TARA.</t>
        </is>
      </c>
      <c r="H19" s="14">
        <f>IF(G19="","",VLOOKUP(G19,REFERENCIA!$A$1:$B$14,2,0))</f>
        <v/>
      </c>
      <c r="I19" s="6" t="inlineStr">
        <is>
          <t xml:space="preserve">ERROR DE TARA.FALTO AGREGAR TARA DE 2,3kG EN EL PESAJE 3 DE POLLO ENTERO FRESCO. 298.8KG RECUPERADO DE POLLO </t>
        </is>
      </c>
      <c r="J19" s="24" t="n">
        <v>732</v>
      </c>
    </row>
    <row r="20" ht="41.4" customHeight="1">
      <c r="A20" s="8" t="inlineStr">
        <is>
          <t>ACACIAS</t>
        </is>
      </c>
      <c r="B20" s="3" t="inlineStr">
        <is>
          <t>YEFFERSON MAY MORGADO CHACON</t>
        </is>
      </c>
      <c r="C20" s="3" t="n">
        <v>125531</v>
      </c>
      <c r="D20" s="9" t="n">
        <v>46098</v>
      </c>
      <c r="E20" s="5" t="inlineStr">
        <is>
          <t>RECEPCIÓN</t>
        </is>
      </c>
      <c r="F20" s="4" t="inlineStr">
        <is>
          <t>DIANA BENAVIDES</t>
        </is>
      </c>
      <c r="G20" s="14" t="inlineStr">
        <is>
          <t>DIFERENCIA ENTRE CANTIDAD FISCALIZADA Y DOCUMENTO.</t>
        </is>
      </c>
      <c r="H20" s="14">
        <f>IF(G20="","",VLOOKUP(G20,REFERENCIA!$A$1:$B$14,2,0))</f>
        <v/>
      </c>
      <c r="I20" s="15" t="inlineStr">
        <is>
          <t xml:space="preserve">FALTANTE DE 0,2KG DE PAPAYA CON LO DOCUMENTADO. CANCELDO POR PCP JOSE RIASCOS </t>
        </is>
      </c>
      <c r="J20" s="25" t="n">
        <v>0.3</v>
      </c>
    </row>
    <row r="21">
      <c r="A21" s="8" t="inlineStr">
        <is>
          <t>ACACIAS</t>
        </is>
      </c>
      <c r="B21" s="3" t="inlineStr">
        <is>
          <t>ALIMENTOS POLAR COMERCIAL C.A.</t>
        </is>
      </c>
      <c r="C21" s="3" t="n">
        <v>7242060997</v>
      </c>
      <c r="D21" s="9" t="n">
        <v>46099</v>
      </c>
      <c r="E21" s="5" t="inlineStr">
        <is>
          <t>RECEPCIÓN</t>
        </is>
      </c>
      <c r="F21" s="4" t="inlineStr">
        <is>
          <t>SANTOS MOLINA</t>
        </is>
      </c>
      <c r="G21" s="14" t="inlineStr">
        <is>
          <t>NO FISCALIZÓ UNO O VARIOS PRODUCTOS</t>
        </is>
      </c>
      <c r="H21" s="14">
        <f>IF(G21="","",VLOOKUP(G21,REFERENCIA!$A$1:$B$14,2,0))</f>
        <v/>
      </c>
      <c r="I21" s="16" t="inlineStr">
        <is>
          <t xml:space="preserve"> NO FISCALIZO VINAGRE BLANCO 1LT. 1 CAJA</t>
        </is>
      </c>
      <c r="J21" s="24" t="n">
        <v>21.6</v>
      </c>
    </row>
    <row r="22" ht="27.6" customHeight="1">
      <c r="A22" s="8" t="inlineStr">
        <is>
          <t>ACACIAS</t>
        </is>
      </c>
      <c r="B22" s="3" t="inlineStr">
        <is>
          <t>SURA DE VENEZUELA, C.A.</t>
        </is>
      </c>
      <c r="C22" s="3" t="inlineStr">
        <is>
          <t>*14355</t>
        </is>
      </c>
      <c r="D22" s="17" t="n">
        <v>46100</v>
      </c>
      <c r="E22" s="5" t="inlineStr">
        <is>
          <t>RECEPCIÓN</t>
        </is>
      </c>
      <c r="F22" s="4" t="inlineStr">
        <is>
          <t>SANTOS MOLINA</t>
        </is>
      </c>
      <c r="G22" s="14" t="inlineStr">
        <is>
          <t>NO FISCALIZÓ UNO O VARIOS PRODUCTOS</t>
        </is>
      </c>
      <c r="H22" s="14">
        <f>IF(G22="","",VLOOKUP(G22,REFERENCIA!$A$1:$B$14,2,0))</f>
        <v/>
      </c>
      <c r="I22" s="16" t="inlineStr">
        <is>
          <t xml:space="preserve"> NO FISCALIZO TOALLITAS HÚMEDAS OKI CON ALOE 1 EMPAQUE</t>
        </is>
      </c>
      <c r="J22" s="24" t="n">
        <v>55.68</v>
      </c>
    </row>
    <row r="23" ht="96.59999999999999" customHeight="1">
      <c r="A23" s="18" t="inlineStr">
        <is>
          <t>VILLAS DE ARAGUA</t>
        </is>
      </c>
      <c r="B23" s="4" t="inlineStr">
        <is>
          <t>CAVA LUXOR</t>
        </is>
      </c>
      <c r="C23" s="4" t="n">
        <v>4041</v>
      </c>
      <c r="D23" s="17" t="n">
        <v>46100</v>
      </c>
      <c r="E23" s="19" t="inlineStr">
        <is>
          <t>RECEPCIÓN</t>
        </is>
      </c>
      <c r="F23" s="4" t="inlineStr">
        <is>
          <t>YOSEPH  RIVAS</t>
        </is>
      </c>
      <c r="G23" s="14" t="inlineStr">
        <is>
          <t>NO FISCALIZÓ UNO O VARIOS PRODUCTOS</t>
        </is>
      </c>
      <c r="H23" s="14">
        <f>IF(G23="","",VLOOKUP(G23,REFERENCIA!$A$1:$B$14,2,0))</f>
        <v/>
      </c>
      <c r="I23" s="15" t="inlineStr">
        <is>
          <t>NO FISCALIZO: -  2 CAJAS DE CARAMELO HALLS EXTRASTRONG 25.2GR - 1 CAJA DE CHOCOZUCARITAS KELLOGG 250GR - 1 CAJA DE DULCES SUEOS MC CORMINCK 12X10 - 1 CAJA DE CEREAL MAIZORITOS POP CRONCH 269GR - 1 UNIDAD DE CEREAL MAIZORITOS POP CRONCH 240GR - 2CAJAS DE RON SUPERIOR 1LTR</t>
        </is>
      </c>
      <c r="J23" s="26" t="n">
        <v>302.55</v>
      </c>
    </row>
    <row r="24" ht="27.6" customHeight="1">
      <c r="A24" s="8" t="inlineStr">
        <is>
          <t>ACACIAS</t>
        </is>
      </c>
      <c r="B24" s="16" t="inlineStr">
        <is>
          <t>ADOLFO'S VICAR, C.A.</t>
        </is>
      </c>
      <c r="C24" s="18" t="n">
        <v>13218</v>
      </c>
      <c r="D24" s="20" t="n">
        <v>46101</v>
      </c>
      <c r="E24" s="21" t="inlineStr">
        <is>
          <t>RECEPCIÓN</t>
        </is>
      </c>
      <c r="F24" s="16" t="inlineStr">
        <is>
          <t>DIANA BENAVIDES</t>
        </is>
      </c>
      <c r="G24" s="22" t="inlineStr">
        <is>
          <t>DIFERENCIA ENTRE CANTIDAD FISCALIZADA Y DOCUMENTO.</t>
        </is>
      </c>
      <c r="H24" s="22">
        <f>IF(G24="","",VLOOKUP(G24,REFERENCIA!$A$1:$B$14,2,0))</f>
        <v/>
      </c>
      <c r="I24" s="15" t="inlineStr">
        <is>
          <t xml:space="preserve">FALTANTE DE 0,2KG DE MANZANILLA CON LO DOCUMENTADO. </t>
        </is>
      </c>
      <c r="J24" s="25" t="n">
        <v>0.6</v>
      </c>
    </row>
    <row r="25" ht="27.6" customHeight="1">
      <c r="A25" s="8" t="inlineStr">
        <is>
          <t>ACACIAS</t>
        </is>
      </c>
      <c r="B25" s="6" t="inlineStr">
        <is>
          <t>INVERSIONES LAS PATRONAS 2024, C.A.</t>
        </is>
      </c>
      <c r="C25" s="6" t="inlineStr">
        <is>
          <t>000 129</t>
        </is>
      </c>
      <c r="D25" s="20" t="n">
        <v>46101</v>
      </c>
      <c r="E25" s="21" t="inlineStr">
        <is>
          <t>RECEPCIÓN</t>
        </is>
      </c>
      <c r="F25" s="16" t="inlineStr">
        <is>
          <t>DIANA BENAVIDES</t>
        </is>
      </c>
      <c r="G25" s="22" t="inlineStr">
        <is>
          <t>DIFERENCIA ENTRE CANTIDAD FISCALIZADA Y DOCUMENTO.</t>
        </is>
      </c>
      <c r="H25" s="22">
        <f>IF(G25="","",VLOOKUP(G25,REFERENCIA!$A$1:$B$14,2,0))</f>
        <v/>
      </c>
      <c r="I25" s="13" t="inlineStr">
        <is>
          <t>FALTANTE DE 2.6KG DE BATATA, CANCELADO POR PCP JOSE ROJAS</t>
        </is>
      </c>
      <c r="J25" s="25" t="n">
        <v>3.87</v>
      </c>
    </row>
    <row r="26" ht="27.6" customHeight="1">
      <c r="A26" s="8" t="inlineStr">
        <is>
          <t>ACACIAS</t>
        </is>
      </c>
      <c r="B26" s="6" t="inlineStr">
        <is>
          <t>LA CARIDAD C.A.</t>
        </is>
      </c>
      <c r="C26" s="6" t="inlineStr">
        <is>
          <t>E40328</t>
        </is>
      </c>
      <c r="D26" s="20" t="n">
        <v>46111</v>
      </c>
      <c r="E26" s="21" t="inlineStr">
        <is>
          <t>RECEPCIÓN</t>
        </is>
      </c>
      <c r="F26" s="13" t="inlineStr">
        <is>
          <t>LOURDES PALACIOS</t>
        </is>
      </c>
      <c r="G26" s="22" t="inlineStr">
        <is>
          <t>DIFERENCIA ENTRE CANTIDAD FISCALIZADA Y DOCUMENTO.</t>
        </is>
      </c>
      <c r="H26" s="22">
        <f>IF(G26="","",VLOOKUP(G26,REFERENCIA!$A$1:$B$14,2,0))</f>
        <v/>
      </c>
      <c r="I26" s="6" t="inlineStr">
        <is>
          <t>FALTANTE DE 0,4KG  DE POLLO,</t>
        </is>
      </c>
      <c r="J26" s="25" t="n">
        <v>1.12</v>
      </c>
    </row>
    <row r="27">
      <c r="A27" s="8" t="inlineStr">
        <is>
          <t>ACACIAS</t>
        </is>
      </c>
      <c r="B27" s="6" t="inlineStr">
        <is>
          <t>DICOSETRA, C.A</t>
        </is>
      </c>
      <c r="C27" s="6" t="inlineStr">
        <is>
          <t>0 19579</t>
        </is>
      </c>
      <c r="D27" s="20" t="n">
        <v>46112</v>
      </c>
      <c r="E27" s="21" t="inlineStr">
        <is>
          <t>RECEPCIÓN</t>
        </is>
      </c>
      <c r="F27" s="16" t="inlineStr">
        <is>
          <t>DIANA BENAVIDES</t>
        </is>
      </c>
      <c r="G27" s="22" t="inlineStr">
        <is>
          <t>NO FISCALIZÓ UNO O VARIOS PRODUCTOS</t>
        </is>
      </c>
      <c r="H27" s="22">
        <f>IF(G27="","",VLOOKUP(G27,REFERENCIA!$A$1:$B$14,2,0))</f>
        <v/>
      </c>
      <c r="I27" s="16" t="inlineStr">
        <is>
          <t xml:space="preserve"> NO FISCALIZO 8 YOFURT  DULCE CON CEREAL </t>
        </is>
      </c>
      <c r="J27" s="24" t="n">
        <v>18.56</v>
      </c>
    </row>
    <row r="28" ht="27.6" customHeight="1">
      <c r="A28" s="8" t="inlineStr">
        <is>
          <t>ACACIAS</t>
        </is>
      </c>
      <c r="B28" s="6" t="inlineStr">
        <is>
          <t>PRODUCTOS FRESCOS PROFRESCA, C.A.</t>
        </is>
      </c>
      <c r="C28" s="16" t="inlineStr">
        <is>
          <t>B000027286</t>
        </is>
      </c>
      <c r="D28" s="20" t="n">
        <v>46112</v>
      </c>
      <c r="E28" s="21" t="inlineStr">
        <is>
          <t>RECEPCIÓN</t>
        </is>
      </c>
      <c r="F28" s="16" t="inlineStr">
        <is>
          <t>DIANA BENAVIDES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16" t="inlineStr">
        <is>
          <t xml:space="preserve"> NO FISCALIZO ENSALADA CAMPESTRE PROFRESCA 335GR 2Und</t>
        </is>
      </c>
      <c r="J28" s="26" t="n">
        <v>5.4</v>
      </c>
    </row>
    <row r="29">
      <c r="H29">
        <f>IF(G29="","",VLOOKUP(G29,REFERENCIA!$A$1:$B$14,2,0))</f>
        <v/>
      </c>
    </row>
    <row r="30">
      <c r="H30">
        <f>IF(G30="","",VLOOKUP(G30,REFERENCIA!$A$1:$B$14,2,0))</f>
        <v/>
      </c>
    </row>
    <row r="31">
      <c r="H31">
        <f>IF(G31="","",VLOOKUP(G31,REFERENCIA!$A$1:$B$14,2,0))</f>
        <v/>
      </c>
    </row>
    <row r="32">
      <c r="H32">
        <f>IF(G32="","",VLOOKUP(G32,REFERENCIA!$A$1:$B$14,2,0))</f>
        <v/>
      </c>
    </row>
    <row r="33">
      <c r="H33">
        <f>IF(G33="","",VLOOKUP(G33,REFERENCIA!$A$1:$B$14,2,0))</f>
        <v/>
      </c>
    </row>
    <row r="34">
      <c r="H34">
        <f>IF(G34="","",VLOOKUP(G34,REFERENCIA!$A$1:$B$14,2,0))</f>
        <v/>
      </c>
    </row>
    <row r="35">
      <c r="H35">
        <f>IF(G35="","",VLOOKUP(G35,REFERENCIA!$A$1:$B$14,2,0))</f>
        <v/>
      </c>
    </row>
    <row r="36">
      <c r="H36">
        <f>IF(G36="","",VLOOKUP(G36,REFERENCIA!$A$1:$B$14,2,0))</f>
        <v/>
      </c>
    </row>
    <row r="37">
      <c r="H37">
        <f>IF(G37="","",VLOOKUP(G37,REFERENCIA!$A$1:$B$14,2,0))</f>
        <v/>
      </c>
    </row>
    <row r="38">
      <c r="H38">
        <f>IF(G38="","",VLOOKUP(G38,REFERENCIA!$A$1:$B$14,2,0))</f>
        <v/>
      </c>
    </row>
    <row r="39">
      <c r="H39">
        <f>IF(G39="","",VLOOKUP(G39,REFERENCIA!$A$1:$B$14,2,0))</f>
        <v/>
      </c>
    </row>
    <row r="40">
      <c r="H40">
        <f>IF(G40="","",VLOOKUP(G40,REFERENCIA!$A$1:$B$14,2,0))</f>
        <v/>
      </c>
    </row>
    <row r="41">
      <c r="H41">
        <f>IF(G41="","",VLOOKUP(G41,REFERENCIA!$A$1:$B$14,2,0))</f>
        <v/>
      </c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2026-06-03T17:04:02Z</dcterms:modified>
  <cp:lastModifiedBy>garantias</cp:lastModifiedBy>
</cp:coreProperties>
</file>