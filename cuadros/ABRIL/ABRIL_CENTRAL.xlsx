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57675" yWindow="11445" windowWidth="4650" windowHeight="12855" tabRatio="600" firstSheet="0" activeTab="0" autoFilterDateGrouping="1"/>
  </bookViews>
  <sheets>
    <sheet xmlns:r="http://schemas.openxmlformats.org/officeDocument/2006/relationships" name="ABRIL" sheetId="1" state="visible" r:id="rId1"/>
    <sheet xmlns:r="http://schemas.openxmlformats.org/officeDocument/2006/relationships" name="REFERENCIA" sheetId="2" state="hidden" r:id="rId2"/>
  </sheets>
  <definedNames>
    <definedName name="_xlnm._FilterDatabase" localSheetId="0" hidden="1">'ABRIL'!$A$1:$K$500</definedName>
  </definedNames>
  <calcPr calcId="18102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0" pivotButton="0" quotePrefix="0" xfId="0"/>
    <xf numFmtId="49" fontId="0" fillId="0" borderId="0" pivotButton="0" quotePrefix="0" xfId="0"/>
    <xf numFmtId="0" fontId="0" fillId="4" borderId="0" pivotButton="0" quotePrefix="0" xfId="0"/>
    <xf numFmtId="14" fontId="1" fillId="2" borderId="1" applyAlignment="1" pivotButton="0" quotePrefix="0" xfId="0">
      <alignment horizontal="center" vertical="center"/>
    </xf>
    <xf numFmtId="14" fontId="0" fillId="0" borderId="0" pivotButton="0" quotePrefix="0" xfId="0"/>
    <xf numFmtId="0" fontId="1" fillId="2" borderId="1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0" fontId="0" fillId="5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B1" zoomScale="85" zoomScaleNormal="85" workbookViewId="0">
      <selection activeCell="I26" sqref="I26"/>
    </sheetView>
  </sheetViews>
  <sheetFormatPr baseColWidth="10" defaultColWidth="9.23046875" defaultRowHeight="14.6"/>
  <cols>
    <col width="15" customWidth="1" min="1" max="1"/>
    <col width="15.15234375" customWidth="1" min="2" max="2"/>
    <col width="15" customWidth="1" style="8" min="3" max="3"/>
    <col width="15" customWidth="1" style="6" min="4" max="4"/>
    <col width="20" customWidth="1" min="5" max="6"/>
    <col width="36.15234375" customWidth="1" min="7" max="7"/>
    <col width="15" customWidth="1" min="8" max="8"/>
    <col width="84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7" t="inlineStr">
        <is>
          <t>FACTURA</t>
        </is>
      </c>
      <c r="D1" s="5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t="inlineStr">
        <is>
          <t>CENTRAL</t>
        </is>
      </c>
      <c r="B2" t="inlineStr">
        <is>
          <t>CAVA LUXOR</t>
        </is>
      </c>
      <c r="C2" s="8" t="n">
        <v>95389</v>
      </c>
      <c r="D2" s="6" t="n">
        <v>46113</v>
      </c>
      <c r="E2" t="inlineStr">
        <is>
          <t>TRANSFERENCIAS</t>
        </is>
      </c>
      <c r="F2" t="inlineStr">
        <is>
          <t>SEÑOR CARLOS DE MANTENIMIENTO</t>
        </is>
      </c>
      <c r="G2" t="inlineStr">
        <is>
          <t>DIFERENCIA ENTRE CANTIDAD FISCALIZADA Y DOCUMENTO.</t>
        </is>
      </c>
      <c r="H2">
        <f>IF(G2="","",VLOOKUP(G2,REFERENCIA!$A$1:$B$15,2,0))</f>
        <v/>
      </c>
      <c r="I2" t="inlineStr">
        <is>
          <t>AL MOMENTO DE CARGAR LA MERCANCIA A LA CAVA SE ROMPIERON 2 UNIDADES DE ARROZ 900 GM</t>
        </is>
      </c>
      <c r="J2" s="2" t="n">
        <v>2.58</v>
      </c>
      <c r="K2" s="3" t="inlineStr">
        <is>
          <t>00095389</t>
        </is>
      </c>
    </row>
    <row r="3">
      <c r="A3" t="inlineStr">
        <is>
          <t>CENTRAL</t>
        </is>
      </c>
      <c r="B3" t="inlineStr">
        <is>
          <t>ALIMENTOS VALLES DE ARAGUA</t>
        </is>
      </c>
      <c r="C3" s="8" t="n">
        <v>9560</v>
      </c>
      <c r="D3" s="6" t="n">
        <v>46119</v>
      </c>
      <c r="E3" t="inlineStr">
        <is>
          <t>RECEPCION</t>
        </is>
      </c>
      <c r="F3" t="inlineStr">
        <is>
          <t>NICOLE COLMENARES</t>
        </is>
      </c>
      <c r="G3" t="inlineStr">
        <is>
          <t>RECEPCIÓN SIN AUTORIZACIÓN DE CMF.</t>
        </is>
      </c>
      <c r="H3">
        <f>IF(G3="","",VLOOKUP(G3,REFERENCIA!$A$1:$B$15,2,0))</f>
        <v/>
      </c>
      <c r="I3" t="inlineStr">
        <is>
          <t>RECIBIO SIN ENVIAR FACTURA NI ORDEN</t>
        </is>
      </c>
      <c r="K3" s="3" t="n"/>
    </row>
    <row r="4">
      <c r="A4" t="inlineStr">
        <is>
          <t>CENTRAL</t>
        </is>
      </c>
      <c r="B4" t="inlineStr">
        <is>
          <t>ALIMENTOS VALLES DE ARAGUA</t>
        </is>
      </c>
      <c r="C4" s="8" t="n">
        <v>9561</v>
      </c>
      <c r="D4" s="6" t="n">
        <v>46119</v>
      </c>
      <c r="E4" t="inlineStr">
        <is>
          <t>RECEPCION</t>
        </is>
      </c>
      <c r="F4" t="inlineStr">
        <is>
          <t>NICOLE COLMENARES</t>
        </is>
      </c>
      <c r="G4" t="inlineStr">
        <is>
          <t>RECEPCIÓN SIN AUTORIZACIÓN DE CMF.</t>
        </is>
      </c>
      <c r="H4">
        <f>IF(G4="","",VLOOKUP(G4,REFERENCIA!$A$1:$B$15,2,0))</f>
        <v/>
      </c>
      <c r="I4" t="inlineStr">
        <is>
          <t>RECIBIO SIN ENVIAR FACTURA NI ORDEN</t>
        </is>
      </c>
      <c r="K4" s="3" t="n"/>
    </row>
    <row r="5">
      <c r="A5" t="inlineStr">
        <is>
          <t>CENTRAL</t>
        </is>
      </c>
      <c r="B5" t="inlineStr">
        <is>
          <t>PARMALAT</t>
        </is>
      </c>
      <c r="C5" s="8" t="n">
        <v>2000074458</v>
      </c>
      <c r="D5" s="6" t="n">
        <v>46119</v>
      </c>
      <c r="E5" t="inlineStr">
        <is>
          <t>RECEPCION</t>
        </is>
      </c>
      <c r="F5" t="inlineStr">
        <is>
          <t>BEATRIZ REYES</t>
        </is>
      </c>
      <c r="G5" t="inlineStr">
        <is>
          <t>DOCUMENTO NO LEGIBLE</t>
        </is>
      </c>
      <c r="H5">
        <f>IF(G5="","",VLOOKUP(G5,REFERENCIA!$A$1:$B$15,2,0))</f>
        <v/>
      </c>
      <c r="I5" t="inlineStr">
        <is>
          <t>ENVIO FOTO BORROSA DE LA FACTURA, SE LE SOLICITO REPETIRLAS Y NO HIZO</t>
        </is>
      </c>
      <c r="K5" s="3" t="n"/>
    </row>
    <row r="6">
      <c r="A6" t="inlineStr">
        <is>
          <t>CENTRAL</t>
        </is>
      </c>
      <c r="B6" t="inlineStr">
        <is>
          <t>PARMALAT</t>
        </is>
      </c>
      <c r="C6" s="8" t="n">
        <v>2000074459</v>
      </c>
      <c r="D6" s="6" t="n">
        <v>46119</v>
      </c>
      <c r="E6" t="inlineStr">
        <is>
          <t>RECEPCION</t>
        </is>
      </c>
      <c r="F6" t="inlineStr">
        <is>
          <t>BEATRIZ REYES</t>
        </is>
      </c>
      <c r="G6" t="inlineStr">
        <is>
          <t>DOCUMENTO NO LEGIBLE</t>
        </is>
      </c>
      <c r="H6">
        <f>IF(G6="","",VLOOKUP(G6,REFERENCIA!$A$1:$B$15,2,0))</f>
        <v/>
      </c>
      <c r="I6" t="inlineStr">
        <is>
          <t>ENVIO FOTO BORROSA DE LA FACTURA, SE LE SOLICITO REPETIRLAS Y NO HIZO</t>
        </is>
      </c>
      <c r="K6" s="3" t="n"/>
    </row>
    <row r="7">
      <c r="A7" t="inlineStr">
        <is>
          <t>CENTRAL</t>
        </is>
      </c>
      <c r="B7" t="inlineStr">
        <is>
          <t>PARMALAT</t>
        </is>
      </c>
      <c r="C7" s="8" t="n">
        <v>2000074457</v>
      </c>
      <c r="D7" s="6" t="n">
        <v>46119</v>
      </c>
      <c r="E7" t="inlineStr">
        <is>
          <t>RECEPCION</t>
        </is>
      </c>
      <c r="F7" t="inlineStr">
        <is>
          <t>BEATRIZ REYES</t>
        </is>
      </c>
      <c r="G7" t="inlineStr">
        <is>
          <t>DOCUMENTO NO LEGIBLE</t>
        </is>
      </c>
      <c r="H7">
        <f>IF(G7="","",VLOOKUP(G7,REFERENCIA!$A$1:$B$15,2,0))</f>
        <v/>
      </c>
      <c r="I7" t="inlineStr">
        <is>
          <t>ENVIO FOTO BORROSA DE LA FACTURA, SE LE SOLICITO REPETIRLAS Y NO HIZO</t>
        </is>
      </c>
      <c r="K7" s="3" t="n"/>
    </row>
    <row r="8">
      <c r="A8" t="inlineStr">
        <is>
          <t>CENTRAL</t>
        </is>
      </c>
      <c r="B8" t="inlineStr">
        <is>
          <t>PARMALAT</t>
        </is>
      </c>
      <c r="C8" s="8" t="n">
        <v>2000074456</v>
      </c>
      <c r="D8" s="6" t="n">
        <v>46119</v>
      </c>
      <c r="E8" t="inlineStr">
        <is>
          <t>RECEPCION</t>
        </is>
      </c>
      <c r="F8" t="inlineStr">
        <is>
          <t>BEATRIZ REYES</t>
        </is>
      </c>
      <c r="G8" t="inlineStr">
        <is>
          <t>DOCUMENTO NO LEGIBLE</t>
        </is>
      </c>
      <c r="H8">
        <f>IF(G8="","",VLOOKUP(G8,REFERENCIA!$A$1:$B$15,2,0))</f>
        <v/>
      </c>
      <c r="I8" t="inlineStr">
        <is>
          <t>ENVIO FOTO BORROSA DE LA FACTURA, SE LE SOLICITO REPETIRLAS Y NO HIZO</t>
        </is>
      </c>
      <c r="K8" s="3" t="n"/>
    </row>
    <row r="9">
      <c r="A9" t="inlineStr">
        <is>
          <t>CENTRAL</t>
        </is>
      </c>
      <c r="B9" t="inlineStr">
        <is>
          <t>PARMALAT</t>
        </is>
      </c>
      <c r="C9" s="8" t="n">
        <v>2000074458</v>
      </c>
      <c r="D9" s="6" t="n">
        <v>46119</v>
      </c>
      <c r="E9" t="inlineStr">
        <is>
          <t>RECEPCION</t>
        </is>
      </c>
      <c r="F9" t="inlineStr">
        <is>
          <t>BEATRIZ REYES</t>
        </is>
      </c>
      <c r="G9" t="inlineStr">
        <is>
          <t>DIFERENCIA ENTRE CANTIDAD FISCALIZADA Y DOCUMENTO.</t>
        </is>
      </c>
      <c r="H9">
        <f>IF(G9="","",VLOOKUP(G9,REFERENCIA!$A$1:$B$15,2,0))</f>
        <v/>
      </c>
      <c r="I9" t="inlineStr">
        <is>
          <t>NO ENVIO NOTA AL DORSO DE FALTANTE DE 1 CAJA FALTANTE DE FRICAJITA DE DURAZNO DE 250 Y MANZANA DE 250 DE VALOR DE 17,2 CADA UNA</t>
        </is>
      </c>
      <c r="J9" s="4" t="n">
        <v>34.4</v>
      </c>
      <c r="K9" s="3" t="n"/>
    </row>
    <row r="10">
      <c r="A10" t="inlineStr">
        <is>
          <t>CENTRAL</t>
        </is>
      </c>
      <c r="B10" t="inlineStr">
        <is>
          <t>PARMALAT</t>
        </is>
      </c>
      <c r="C10" s="8" t="n">
        <v>2000074459</v>
      </c>
      <c r="D10" s="6" t="n">
        <v>46119</v>
      </c>
      <c r="E10" t="inlineStr">
        <is>
          <t>RECEPCION</t>
        </is>
      </c>
      <c r="F10" t="inlineStr">
        <is>
          <t>BEATRIZ REYES</t>
        </is>
      </c>
      <c r="G10" t="inlineStr">
        <is>
          <t>DIFERENCIA ENTRE CANTIDAD FISCALIZADA Y DOCUMENTO.</t>
        </is>
      </c>
      <c r="H10">
        <f>IF(G10="","",VLOOKUP(G10,REFERENCIA!$A$1:$B$15,2,0))</f>
        <v/>
      </c>
      <c r="I10" t="inlineStr">
        <is>
          <t>NO ENVIO NOTA AL DORSO DE UNA CAJA DE RIKO MALT DE 250 DE UN VALOR DE 29,52</t>
        </is>
      </c>
      <c r="J10" s="4" t="n">
        <v>29.52</v>
      </c>
      <c r="K10" s="3" t="n"/>
    </row>
    <row r="11">
      <c r="A11" t="inlineStr">
        <is>
          <t>CENTRAL</t>
        </is>
      </c>
      <c r="B11" t="inlineStr">
        <is>
          <t>FRUMIX</t>
        </is>
      </c>
      <c r="C11" s="8" t="n">
        <v>9336</v>
      </c>
      <c r="D11" s="6" t="n">
        <v>46120</v>
      </c>
      <c r="E11" t="inlineStr">
        <is>
          <t>RECEPCION</t>
        </is>
      </c>
      <c r="F11" t="inlineStr">
        <is>
          <t>PEDRO ALVARDO</t>
        </is>
      </c>
      <c r="G11" t="inlineStr">
        <is>
          <t>DIFERENCIA ENTRE CANTIDAD FISCALIZADA Y DOCUMENTO.</t>
        </is>
      </c>
      <c r="H11">
        <f>IF(G11="","",VLOOKUP(G11,REFERENCIA!$A$1:$B$15,2,0))</f>
        <v/>
      </c>
      <c r="I11" t="inlineStr">
        <is>
          <t>NO COLOCARON NOTA AL DORSO DE 11 KG DE NARANJA</t>
        </is>
      </c>
      <c r="J11" s="2" t="n">
        <v>92.29000000000001</v>
      </c>
      <c r="K11" s="3" t="inlineStr">
        <is>
          <t>ACTA DE DESCUENTO 1</t>
        </is>
      </c>
    </row>
    <row r="12">
      <c r="A12" t="inlineStr">
        <is>
          <t>CENTRAL</t>
        </is>
      </c>
      <c r="B12" t="inlineStr">
        <is>
          <t>PATRONAS</t>
        </is>
      </c>
      <c r="C12" s="8" t="n">
        <v>482</v>
      </c>
      <c r="D12" s="6" t="n">
        <v>46121</v>
      </c>
      <c r="E12" t="inlineStr">
        <is>
          <t>RECEPCION</t>
        </is>
      </c>
      <c r="F12" t="inlineStr">
        <is>
          <t>ANGELO LIENDO</t>
        </is>
      </c>
      <c r="G12" t="inlineStr">
        <is>
          <t>RECEPCIÓN FUERA DE VISUAL / CON OBSTRUCCIÓN.</t>
        </is>
      </c>
      <c r="H12">
        <f>IF(G12="","",VLOOKUP(G12,REFERENCIA!$A$1:$B$15,2,0))</f>
        <v/>
      </c>
      <c r="I12" t="inlineStr">
        <is>
          <t>CONTO LOS COCOS Y LOS JOJOTOS FUERA DE VISUAL</t>
        </is>
      </c>
      <c r="K12" s="3" t="n"/>
    </row>
    <row r="13">
      <c r="A13" t="inlineStr">
        <is>
          <t>CENTRAL</t>
        </is>
      </c>
      <c r="B13" t="inlineStr">
        <is>
          <t>H2O DE COCO</t>
        </is>
      </c>
      <c r="C13" s="8" t="n">
        <v>1259</v>
      </c>
      <c r="D13" s="6" t="n">
        <v>46122</v>
      </c>
      <c r="E13" t="inlineStr">
        <is>
          <t>RECEPCION</t>
        </is>
      </c>
      <c r="F13" t="inlineStr">
        <is>
          <t>ANGELO LIENDO</t>
        </is>
      </c>
      <c r="G13" t="inlineStr">
        <is>
          <t>DOCUMENTO NO LEGIBLE</t>
        </is>
      </c>
      <c r="H13">
        <f>IF(G13="","",VLOOKUP(G13,REFERENCIA!$A$1:$B$15,2,0))</f>
        <v/>
      </c>
      <c r="I13" t="inlineStr">
        <is>
          <t xml:space="preserve">NO ENVIO FOTO DE LA FACTURA CON LA CANTIDAD RECIBIDA </t>
        </is>
      </c>
      <c r="K13" s="3" t="n"/>
    </row>
    <row r="14">
      <c r="A14" t="inlineStr">
        <is>
          <t>CENTRAL</t>
        </is>
      </c>
      <c r="B14" t="inlineStr">
        <is>
          <t>H2O DE COCO</t>
        </is>
      </c>
      <c r="C14" s="8" t="n">
        <v>1258</v>
      </c>
      <c r="D14" s="6" t="n">
        <v>46122</v>
      </c>
      <c r="E14" t="inlineStr">
        <is>
          <t>RECEPCION</t>
        </is>
      </c>
      <c r="F14" t="inlineStr">
        <is>
          <t>ANGELO LIENDO</t>
        </is>
      </c>
      <c r="G14" t="inlineStr">
        <is>
          <t>DOCUMENTO NO LEGIBLE</t>
        </is>
      </c>
      <c r="H14">
        <f>IF(G14="","",VLOOKUP(G14,REFERENCIA!$A$1:$B$15,2,0))</f>
        <v/>
      </c>
      <c r="I14" t="inlineStr">
        <is>
          <t xml:space="preserve">NO ENVIO FOTO DE LA FACTURA CON LA CANTIDAD RECIBIDA </t>
        </is>
      </c>
      <c r="K14" s="3" t="n"/>
    </row>
    <row r="15">
      <c r="A15" t="inlineStr">
        <is>
          <t>CENTRAL</t>
        </is>
      </c>
      <c r="B15" t="inlineStr">
        <is>
          <t>ORO BLANCO</t>
        </is>
      </c>
      <c r="C15" s="8" t="n">
        <v>6194</v>
      </c>
      <c r="D15" s="6" t="n">
        <v>46125</v>
      </c>
      <c r="E15" t="inlineStr">
        <is>
          <t>RECEPCION</t>
        </is>
      </c>
      <c r="F15" t="inlineStr">
        <is>
          <t>NICOLE COLMENARES</t>
        </is>
      </c>
      <c r="G15" t="inlineStr">
        <is>
          <t>DOCUMENTO NO LEGIBLE</t>
        </is>
      </c>
      <c r="H15">
        <f>IF(G15="","",VLOOKUP(G15,REFERENCIA!$A$1:$B$15,2,0))</f>
        <v/>
      </c>
      <c r="I15" t="inlineStr">
        <is>
          <t xml:space="preserve">NO ENVIO FOTO DE LA FACTURA CON LA CANTIDAD RECIBIDA </t>
        </is>
      </c>
      <c r="K15" s="3" t="n"/>
    </row>
    <row r="16">
      <c r="A16" t="inlineStr">
        <is>
          <t>CENTRAL</t>
        </is>
      </c>
      <c r="B16" t="inlineStr">
        <is>
          <t>ORO BLANCO</t>
        </is>
      </c>
      <c r="C16" s="8" t="n">
        <v>6192</v>
      </c>
      <c r="D16" s="6" t="n">
        <v>46125</v>
      </c>
      <c r="E16" t="inlineStr">
        <is>
          <t>RECEPCION</t>
        </is>
      </c>
      <c r="F16" t="inlineStr">
        <is>
          <t>NICOLE COLMENARES</t>
        </is>
      </c>
      <c r="G16" t="inlineStr">
        <is>
          <t>DOCUMENTO NO LEGIBLE</t>
        </is>
      </c>
      <c r="H16">
        <f>IF(G16="","",VLOOKUP(G16,REFERENCIA!$A$1:$B$15,2,0))</f>
        <v/>
      </c>
      <c r="I16" t="inlineStr">
        <is>
          <t xml:space="preserve">NO ENVIO FOTO DE LA FACTURA CON LA CANTIDAD RECIBIDA </t>
        </is>
      </c>
      <c r="K16" s="3" t="n"/>
    </row>
    <row r="17">
      <c r="A17" t="inlineStr">
        <is>
          <t>CENTRAL</t>
        </is>
      </c>
      <c r="B17" t="inlineStr">
        <is>
          <t>ORO BLANCO</t>
        </is>
      </c>
      <c r="C17" s="8" t="n">
        <v>6193</v>
      </c>
      <c r="D17" s="6" t="n">
        <v>46125</v>
      </c>
      <c r="E17" t="inlineStr">
        <is>
          <t>RECEPCION</t>
        </is>
      </c>
      <c r="F17" t="inlineStr">
        <is>
          <t>NICOLE COLMENARES</t>
        </is>
      </c>
      <c r="G17" t="inlineStr">
        <is>
          <t>DOCUMENTO NO LEGIBLE</t>
        </is>
      </c>
      <c r="H17">
        <f>IF(G17="","",VLOOKUP(G17,REFERENCIA!$A$1:$B$15,2,0))</f>
        <v/>
      </c>
      <c r="I17" t="inlineStr">
        <is>
          <t xml:space="preserve">NO ENVIO FOTO DE LA FACTURA CON LA CANTIDAD RECIBIDA </t>
        </is>
      </c>
      <c r="K17" s="3" t="n"/>
    </row>
    <row r="18">
      <c r="A18" t="inlineStr">
        <is>
          <t>CENTRAL</t>
        </is>
      </c>
      <c r="B18" t="inlineStr">
        <is>
          <t>FRUMIX</t>
        </is>
      </c>
      <c r="C18" s="8" t="n">
        <v>9409</v>
      </c>
      <c r="D18" s="6" t="n">
        <v>46126</v>
      </c>
      <c r="E18" t="inlineStr">
        <is>
          <t>RECEPCION</t>
        </is>
      </c>
      <c r="F18" t="inlineStr">
        <is>
          <t>BEATRIZ REYES</t>
        </is>
      </c>
      <c r="G18" t="inlineStr">
        <is>
          <t>DIFERENCIA ENTRE CANTIDAD FISCALIZADA Y DOCUMENTO.</t>
        </is>
      </c>
      <c r="H18">
        <f>IF(G18="","",VLOOKUP(G18,REFERENCIA!$A$1:$B$15,2,0))</f>
        <v/>
      </c>
      <c r="I18" t="inlineStr">
        <is>
          <t>NO ENVIO NOTA AL DORSO CON FALTANTE DE 1,6 KG DE MANZANA ROJA EQUIVALENTE A 11,424 $. 2,10KG MANZANA LADY EQUIVALENTE A 14,154$. 1,22KG NARANJA EQUIVALENTE A 10,97$</t>
        </is>
      </c>
      <c r="J18" s="4" t="n">
        <v>36.548</v>
      </c>
      <c r="K18" s="3" t="n"/>
    </row>
    <row r="19">
      <c r="A19" t="inlineStr">
        <is>
          <t>CENTRAL</t>
        </is>
      </c>
      <c r="B19" t="inlineStr">
        <is>
          <t>FRUMIX</t>
        </is>
      </c>
      <c r="C19" s="8" t="n">
        <v>9410</v>
      </c>
      <c r="D19" s="6" t="n">
        <v>46126</v>
      </c>
      <c r="E19" t="inlineStr">
        <is>
          <t>RECEPCION</t>
        </is>
      </c>
      <c r="F19" t="inlineStr">
        <is>
          <t>BEATRIZ REYES</t>
        </is>
      </c>
      <c r="G19" t="inlineStr">
        <is>
          <t>DIFERENCIA ENTRE CANTIDAD FISCALIZADA Y DOCUMENTO.</t>
        </is>
      </c>
      <c r="H19">
        <f>IF(G19="","",VLOOKUP(G19,REFERENCIA!$A$1:$B$15,2,0))</f>
        <v/>
      </c>
      <c r="I19" t="inlineStr">
        <is>
          <t>NO ENVIO NOTA AL DORSO DE 0,74 KG DE MANZANA ROJA EQUIVALENTE A 5,28$. 1,360KG MANZANA LADY EQUIVALENTE 9,17$. 2,22KG NARANJA EQUIVALENTE A 19,96$. 2,73KG MANDARINA EQUIVALENTE A 32,84$. 9KG KIWI EQUIVALENTE A 138,51$.  7,66KG UVA VERDE EQUIVALENTE A 80,12$</t>
        </is>
      </c>
      <c r="J19" s="4" t="n">
        <v>285.88</v>
      </c>
      <c r="K19" s="3" t="n"/>
    </row>
    <row r="20">
      <c r="A20" t="inlineStr">
        <is>
          <t>CENTRAL</t>
        </is>
      </c>
      <c r="B20" t="inlineStr">
        <is>
          <t>FRUMIX</t>
        </is>
      </c>
      <c r="C20" s="8" t="n">
        <v>9408</v>
      </c>
      <c r="D20" s="6" t="n">
        <v>46126</v>
      </c>
      <c r="E20" t="inlineStr">
        <is>
          <t>RECEPCION</t>
        </is>
      </c>
      <c r="F20" t="inlineStr">
        <is>
          <t>BEATRIZ REYES</t>
        </is>
      </c>
      <c r="G20" t="inlineStr">
        <is>
          <t>DIFERENCIA ENTRE CANTIDAD FISCALIZADA Y DOCUMENTO.</t>
        </is>
      </c>
      <c r="H20">
        <f>IF(G20="","",VLOOKUP(G20,REFERENCIA!$A$1:$B$15,2,0))</f>
        <v/>
      </c>
      <c r="I20" t="inlineStr">
        <is>
          <t>NO ENVIO NOTA AL DORSO CON FALTANTE DE 0,74KG MANZANA LADY EQUIVALENTE A 5,03$. 0,19KG PERA EQUIVALENTE A 1,07$. 0,22KG NARANJA EQUIVALENTE A 1,98$. 0,115KG MANDARINA EQUIVALENTE A 1,38$</t>
        </is>
      </c>
      <c r="J20" s="4" t="n">
        <v>9.460000000000001</v>
      </c>
      <c r="K20" s="3" t="n"/>
    </row>
    <row r="21">
      <c r="A21" t="inlineStr">
        <is>
          <t>CENTRAL</t>
        </is>
      </c>
      <c r="B21" t="inlineStr">
        <is>
          <t>FRUMIX</t>
        </is>
      </c>
      <c r="C21" s="8" t="n">
        <v>9409</v>
      </c>
      <c r="D21" s="6" t="n">
        <v>46126</v>
      </c>
      <c r="E21" t="inlineStr">
        <is>
          <t>RECEPCION</t>
        </is>
      </c>
      <c r="F21" t="inlineStr">
        <is>
          <t>BEATRIZ REYES</t>
        </is>
      </c>
      <c r="G21" t="inlineStr">
        <is>
          <t>NO SE INDICÓ DIFERENCIA AL DORSO DE LA FACTURA.</t>
        </is>
      </c>
      <c r="H21">
        <f>IF(G21="","",VLOOKUP(G21,REFERENCIA!$A$1:$B$15,2,0))</f>
        <v/>
      </c>
      <c r="I21" t="inlineStr">
        <is>
          <t>FALTANTE DE 380 GRAMOS DE PERA EQUIVALEMTE A 2,14$</t>
        </is>
      </c>
      <c r="J21" s="2" t="n">
        <v>1.87</v>
      </c>
      <c r="K21" s="3" t="inlineStr">
        <is>
          <t>00048303</t>
        </is>
      </c>
    </row>
    <row r="22">
      <c r="A22" t="inlineStr">
        <is>
          <t>CENTRAL</t>
        </is>
      </c>
      <c r="B22" t="inlineStr">
        <is>
          <t>CORVARA</t>
        </is>
      </c>
      <c r="C22" s="8" t="n">
        <v>30939</v>
      </c>
      <c r="D22" s="6" t="n">
        <v>46127</v>
      </c>
      <c r="E22" t="inlineStr">
        <is>
          <t>RECEPCION</t>
        </is>
      </c>
      <c r="F22" t="inlineStr">
        <is>
          <t>NICOLE COLMENARES</t>
        </is>
      </c>
      <c r="G22" t="inlineStr">
        <is>
          <t>DOCUMENTO NO LEGIBLE</t>
        </is>
      </c>
      <c r="H22">
        <f>IF(G22="","",VLOOKUP(G22,REFERENCIA!$A$1:$B$15,2,0))</f>
        <v/>
      </c>
      <c r="I22" t="inlineStr">
        <is>
          <t xml:space="preserve">NO ENVIO FOTO DE LA FACTURA CON LA CANTIDAD RECIBIDA </t>
        </is>
      </c>
      <c r="K22" s="3" t="n"/>
    </row>
    <row r="23">
      <c r="A23" t="inlineStr">
        <is>
          <t>CENTRAL</t>
        </is>
      </c>
      <c r="B23" t="inlineStr">
        <is>
          <t>CORVARA</t>
        </is>
      </c>
      <c r="C23" s="8" t="n">
        <v>30938</v>
      </c>
      <c r="D23" s="6" t="n">
        <v>46127</v>
      </c>
      <c r="E23" t="inlineStr">
        <is>
          <t>RECEPCION</t>
        </is>
      </c>
      <c r="F23" t="inlineStr">
        <is>
          <t>NICOLE COLMENARES</t>
        </is>
      </c>
      <c r="G23" t="inlineStr">
        <is>
          <t>DOCUMENTO NO LEGIBLE</t>
        </is>
      </c>
      <c r="H23">
        <f>IF(G23="","",VLOOKUP(G23,REFERENCIA!$A$1:$B$15,2,0))</f>
        <v/>
      </c>
      <c r="I23" t="inlineStr">
        <is>
          <t xml:space="preserve">NO ENVIO FOTO DE LA FACTURA CON LA CANTIDAD RECIBIDA </t>
        </is>
      </c>
      <c r="K23" s="3" t="n"/>
    </row>
    <row r="24">
      <c r="A24" t="inlineStr">
        <is>
          <t>CENTRAL</t>
        </is>
      </c>
      <c r="B24" t="inlineStr">
        <is>
          <t>CORVARA</t>
        </is>
      </c>
      <c r="C24" s="8" t="n">
        <v>30940</v>
      </c>
      <c r="D24" s="6" t="n">
        <v>46127</v>
      </c>
      <c r="E24" t="inlineStr">
        <is>
          <t>RECEPCION</t>
        </is>
      </c>
      <c r="F24" t="inlineStr">
        <is>
          <t>NICOLE COLMENARES</t>
        </is>
      </c>
      <c r="G24" t="inlineStr">
        <is>
          <t>DOCUMENTO NO LEGIBLE</t>
        </is>
      </c>
      <c r="H24">
        <f>IF(G24="","",VLOOKUP(G24,REFERENCIA!$A$1:$B$15,2,0))</f>
        <v/>
      </c>
      <c r="I24" t="inlineStr">
        <is>
          <t xml:space="preserve">NO ENVIO FOTO DE LA FACTURA CON LA CANTIDAD RECIBIDA </t>
        </is>
      </c>
      <c r="K24" s="3" t="n"/>
    </row>
    <row r="25">
      <c r="A25" t="inlineStr">
        <is>
          <t>CENTRAL</t>
        </is>
      </c>
      <c r="B25" t="inlineStr">
        <is>
          <t>CORVARA</t>
        </is>
      </c>
      <c r="C25" s="8" t="n">
        <v>30937</v>
      </c>
      <c r="D25" s="6" t="n">
        <v>46127</v>
      </c>
      <c r="E25" t="inlineStr">
        <is>
          <t>RECEPCION</t>
        </is>
      </c>
      <c r="F25" t="inlineStr">
        <is>
          <t>NICOLE COLMENARES</t>
        </is>
      </c>
      <c r="G25" t="inlineStr">
        <is>
          <t>DOCUMENTO NO LEGIBLE</t>
        </is>
      </c>
      <c r="H25">
        <f>IF(G25="","",VLOOKUP(G25,REFERENCIA!$A$1:$B$15,2,0))</f>
        <v/>
      </c>
      <c r="I25" t="inlineStr">
        <is>
          <t xml:space="preserve">NO ENVIO FOTO DE LA FACTURA CON LA CANTIDAD RECIBIDA </t>
        </is>
      </c>
      <c r="K25" s="3" t="n"/>
    </row>
    <row r="26">
      <c r="A26" t="inlineStr">
        <is>
          <t>CENTRAL</t>
        </is>
      </c>
      <c r="B26" t="inlineStr">
        <is>
          <t>OVOMAR</t>
        </is>
      </c>
      <c r="C26" s="8" t="n">
        <v>51320</v>
      </c>
      <c r="D26" s="6" t="n">
        <v>46127</v>
      </c>
      <c r="E26" t="inlineStr">
        <is>
          <t>RECEPCION</t>
        </is>
      </c>
      <c r="F26" t="inlineStr">
        <is>
          <t>LUIS BELLO</t>
        </is>
      </c>
      <c r="G26" t="inlineStr">
        <is>
          <t>NO SE INDICÓ DIFERENCIA AL DORSO DE LA FACTURA.</t>
        </is>
      </c>
      <c r="H26">
        <f>IF(G26="","",VLOOKUP(G26,REFERENCIA!$A$1:$B$15,2,0))</f>
        <v/>
      </c>
      <c r="I26" t="inlineStr">
        <is>
          <t>AL MOMENTO DE RECIBIR  NO HUBO REVISION DE TODAS LA CAJAS HABIENDO UN FALTANTE DE UNIDAD DE NUTRICLARA ORIGINAL 280</t>
        </is>
      </c>
      <c r="J26" s="2" t="n">
        <v>15.93</v>
      </c>
      <c r="K26" s="3" t="inlineStr">
        <is>
          <t>N/A</t>
        </is>
      </c>
    </row>
    <row r="27">
      <c r="A27" t="inlineStr">
        <is>
          <t>CENTRAL</t>
        </is>
      </c>
      <c r="B27" t="inlineStr">
        <is>
          <t>TUNAL</t>
        </is>
      </c>
      <c r="C27" s="8" t="n">
        <v>117568</v>
      </c>
      <c r="D27" s="6" t="n">
        <v>46128</v>
      </c>
      <c r="E27" t="inlineStr">
        <is>
          <t>RECEPCION</t>
        </is>
      </c>
      <c r="F27" t="inlineStr">
        <is>
          <t>BEATRIZ REYES</t>
        </is>
      </c>
      <c r="G27" t="inlineStr">
        <is>
          <t>DOCUMENTO NO LEGIBLE</t>
        </is>
      </c>
      <c r="H27">
        <f>IF(G27="","",VLOOKUP(G27,REFERENCIA!$A$1:$B$15,2,0))</f>
        <v/>
      </c>
      <c r="I27" t="inlineStr">
        <is>
          <t>NO ENVIO FOTO DE LA FACTURA</t>
        </is>
      </c>
      <c r="K27" s="3" t="n"/>
    </row>
    <row r="28">
      <c r="A28" t="inlineStr">
        <is>
          <t>CENTRAL</t>
        </is>
      </c>
      <c r="B28" t="inlineStr">
        <is>
          <t>INDUSTRIAS NEVEX VEN CA</t>
        </is>
      </c>
      <c r="C28" s="8" t="n">
        <v>256</v>
      </c>
      <c r="D28" s="6" t="n">
        <v>46132</v>
      </c>
      <c r="E28" t="inlineStr">
        <is>
          <t>RECEPCION</t>
        </is>
      </c>
      <c r="F28" t="inlineStr">
        <is>
          <t>BEATRIZ REYES</t>
        </is>
      </c>
      <c r="G28" t="inlineStr">
        <is>
          <t>DIFERENCIA ENTRE CANTIDAD FISCALIZADA Y DOCUMENTO.</t>
        </is>
      </c>
      <c r="H28">
        <f>IF(G28="","",VLOOKUP(G28,REFERENCIA!$A$1:$B$15,2,0))</f>
        <v/>
      </c>
      <c r="I28" t="inlineStr">
        <is>
          <t>NO ENVIO NOTA AL DORSO POR UN BULTO FALTANTE DE PINESOL REGULAR 825CC CON UN VALOR DE 5,37</t>
        </is>
      </c>
      <c r="J28" s="4" t="n">
        <v>5.37</v>
      </c>
      <c r="K28" s="3" t="n"/>
    </row>
    <row r="29">
      <c r="A29" t="inlineStr">
        <is>
          <t>CENTRAL</t>
        </is>
      </c>
      <c r="B29" t="inlineStr">
        <is>
          <t>GRUPO SANT-PANINI, C.A</t>
        </is>
      </c>
      <c r="C29" s="8" t="n">
        <v>921</v>
      </c>
      <c r="D29" s="6" t="n">
        <v>46135</v>
      </c>
      <c r="E29" t="inlineStr">
        <is>
          <t>RECEPCION</t>
        </is>
      </c>
      <c r="F29" t="inlineStr">
        <is>
          <t>BEATRIZ REYES</t>
        </is>
      </c>
      <c r="G29" t="inlineStr">
        <is>
          <t>DIFERENCIA ENTRE CANTIDAD FISCALIZADA Y DOCUMENTO.</t>
        </is>
      </c>
      <c r="H29">
        <f>IF(G29="","",VLOOKUP(G29,REFERENCIA!$A$1:$B$15,2,0))</f>
        <v/>
      </c>
      <c r="I29" t="inlineStr">
        <is>
          <t>SE RECIBIERON 3855,5 KG DE QUESO GUAYANES Y EN FACTURA COLOCARON 3825,5 KG, DIFEREBCIA 30kG</t>
        </is>
      </c>
      <c r="J29" s="9" t="n">
        <v>156</v>
      </c>
      <c r="K29" s="3" t="n"/>
    </row>
    <row r="30">
      <c r="A30" t="inlineStr">
        <is>
          <t>CENTRAL</t>
        </is>
      </c>
      <c r="B30" t="inlineStr">
        <is>
          <t>INDUSTRIA ALIMENTICIA NACIONAL DE CEREALES Y HARINAS, C.A.</t>
        </is>
      </c>
      <c r="C30" s="8" t="inlineStr">
        <is>
          <t>V1-16228</t>
        </is>
      </c>
      <c r="D30" s="6" t="n">
        <v>46136</v>
      </c>
      <c r="E30" t="inlineStr">
        <is>
          <t>RECEPCION</t>
        </is>
      </c>
      <c r="F30" t="inlineStr">
        <is>
          <t>BEATRIZ REYES</t>
        </is>
      </c>
      <c r="G30" t="inlineStr">
        <is>
          <t>DIFERENCIA ENTRE CANTIDAD FISCALIZADA Y DOCUMENTO.</t>
        </is>
      </c>
      <c r="H30">
        <f>IF(G30="","",VLOOKUP(G30,REFERENCIA!$A$1:$B$15,2,0))</f>
        <v/>
      </c>
      <c r="I30" t="inlineStr">
        <is>
          <t>NO INDICO EL NUMERO CORRECTO DE BULTOS POR PALETAS RECIBIDO</t>
        </is>
      </c>
      <c r="K30" s="3" t="n"/>
    </row>
    <row r="31">
      <c r="A31" t="inlineStr">
        <is>
          <t>CENTRAL</t>
        </is>
      </c>
      <c r="B31" t="inlineStr">
        <is>
          <t>INDUSTRIA ALIMENTICIA NACIONAL DE CEREALES Y HARINAS, C.A.</t>
        </is>
      </c>
      <c r="C31" s="8" t="inlineStr">
        <is>
          <t>V1-16226</t>
        </is>
      </c>
      <c r="D31" s="6" t="n">
        <v>46136</v>
      </c>
      <c r="E31" t="inlineStr">
        <is>
          <t>RECEPCION</t>
        </is>
      </c>
      <c r="F31" t="inlineStr">
        <is>
          <t>BEATRIZ REYES</t>
        </is>
      </c>
      <c r="G31" t="inlineStr">
        <is>
          <t>DIFERENCIA ENTRE CANTIDAD FISCALIZADA Y DOCUMENTO.</t>
        </is>
      </c>
      <c r="H31">
        <f>IF(G31="","",VLOOKUP(G31,REFERENCIA!$A$1:$B$15,2,0))</f>
        <v/>
      </c>
      <c r="I31" t="inlineStr">
        <is>
          <t>NO INDICO EL NUMERO CORRECTO DE BULTOS POR PALETAS RECIBIDO</t>
        </is>
      </c>
      <c r="K31" s="3" t="n"/>
    </row>
    <row r="32">
      <c r="A32" t="inlineStr">
        <is>
          <t>CENTRAL</t>
        </is>
      </c>
      <c r="B32" t="inlineStr">
        <is>
          <t>INDUSTRIA ALIMENTICIA NACIONAL DE CEREALES Y HARINAS, C.A.</t>
        </is>
      </c>
      <c r="C32" s="8" t="inlineStr">
        <is>
          <t>V1-16227</t>
        </is>
      </c>
      <c r="D32" s="6" t="n">
        <v>46136</v>
      </c>
      <c r="E32" t="inlineStr">
        <is>
          <t>RECEPCION</t>
        </is>
      </c>
      <c r="F32" t="inlineStr">
        <is>
          <t>BEATRIZ REYES</t>
        </is>
      </c>
      <c r="G32" t="inlineStr">
        <is>
          <t>DIFERENCIA ENTRE CANTIDAD FISCALIZADA Y DOCUMENTO.</t>
        </is>
      </c>
      <c r="H32">
        <f>IF(G32="","",VLOOKUP(G32,REFERENCIA!$A$1:$B$15,2,0))</f>
        <v/>
      </c>
      <c r="I32" t="inlineStr">
        <is>
          <t>NO INDICO EL NUMERO CORRECTO DE BULTOS POR PALETAS RECIBIDO</t>
        </is>
      </c>
      <c r="K32" s="3" t="n"/>
    </row>
    <row r="33">
      <c r="A33" t="inlineStr">
        <is>
          <t>CENTRAL</t>
        </is>
      </c>
      <c r="B33" t="inlineStr">
        <is>
          <t>REPRESENTACIONES SMSOL CENTRO, S.A</t>
        </is>
      </c>
      <c r="C33" s="8" t="n">
        <v>9145</v>
      </c>
      <c r="D33" s="6" t="n">
        <v>46139</v>
      </c>
      <c r="E33" t="inlineStr">
        <is>
          <t>RECEPCION</t>
        </is>
      </c>
      <c r="F33" t="inlineStr">
        <is>
          <t>BEATRIZ REYES</t>
        </is>
      </c>
      <c r="G33" t="inlineStr">
        <is>
          <t>RECEPCIÓN SIN AUTORIZACIÓN DE CMF.</t>
        </is>
      </c>
      <c r="H33">
        <f>IF(G33="","",VLOOKUP(G33,REFERENCIA!$A$1:$B$15,2,0))</f>
        <v/>
      </c>
      <c r="I33" t="inlineStr">
        <is>
          <t>RECIBIO SIN NOTIFICAR</t>
        </is>
      </c>
      <c r="K33" s="3" t="n"/>
    </row>
    <row r="34">
      <c r="A34" t="inlineStr">
        <is>
          <t>CENTRAL</t>
        </is>
      </c>
      <c r="B34" t="inlineStr">
        <is>
          <t>FABRICA DE PASTAS ALLEGRI, C.A</t>
        </is>
      </c>
      <c r="C34" s="8" t="n">
        <v>14105315</v>
      </c>
      <c r="D34" s="6" t="n">
        <v>46140</v>
      </c>
      <c r="E34" t="inlineStr">
        <is>
          <t>RECEPCION</t>
        </is>
      </c>
      <c r="F34" t="inlineStr">
        <is>
          <t>BEATRIZ REYES</t>
        </is>
      </c>
      <c r="G34" t="inlineStr">
        <is>
          <t>RECEPCIÓN SIN AUTORIZACIÓN DE CMF.</t>
        </is>
      </c>
      <c r="H34">
        <f>IF(G34="","",VLOOKUP(G34,REFERENCIA!$A$1:$B$15,2,0))</f>
        <v/>
      </c>
      <c r="I34" t="inlineStr">
        <is>
          <t>RECIBIO SIN NOTIFICAR</t>
        </is>
      </c>
      <c r="K34" s="3" t="n"/>
    </row>
    <row r="35">
      <c r="A35" t="inlineStr">
        <is>
          <t>CENTRAL</t>
        </is>
      </c>
      <c r="B35" t="inlineStr">
        <is>
          <t>FABRICA DE PASTAS ALLEGRI, C.A</t>
        </is>
      </c>
      <c r="C35" s="8" t="n">
        <v>14105314</v>
      </c>
      <c r="D35" s="6" t="n">
        <v>46140</v>
      </c>
      <c r="E35" t="inlineStr">
        <is>
          <t>RECEPCION</t>
        </is>
      </c>
      <c r="F35" t="inlineStr">
        <is>
          <t>BEATRIZ REYES</t>
        </is>
      </c>
      <c r="G35" t="inlineStr">
        <is>
          <t>RECEPCIÓN SIN AUTORIZACIÓN DE CMF.</t>
        </is>
      </c>
      <c r="H35">
        <f>IF(G35="","",VLOOKUP(G35,REFERENCIA!$A$1:$B$15,2,0))</f>
        <v/>
      </c>
      <c r="I35" t="inlineStr">
        <is>
          <t>RECIBIO SIN NOTIFICAR</t>
        </is>
      </c>
      <c r="K35" s="3" t="n"/>
    </row>
    <row r="36">
      <c r="A36" t="inlineStr">
        <is>
          <t>CENTRAL</t>
        </is>
      </c>
      <c r="B36" t="inlineStr">
        <is>
          <t>LACTEOS CORRALITO, F.P</t>
        </is>
      </c>
      <c r="C36" s="8" t="n">
        <v>672</v>
      </c>
      <c r="D36" s="6" t="n">
        <v>46134</v>
      </c>
      <c r="E36" t="inlineStr">
        <is>
          <t>RECEPCION</t>
        </is>
      </c>
      <c r="F36" t="inlineStr">
        <is>
          <t>PETER ARANDA</t>
        </is>
      </c>
      <c r="G36" t="inlineStr">
        <is>
          <t>DOCUMENTO NO LEGIBLE</t>
        </is>
      </c>
      <c r="H36">
        <f>IF(G36="","",VLOOKUP(G36,REFERENCIA!$A$1:$B$15,2,0))</f>
        <v/>
      </c>
      <c r="I36" t="inlineStr">
        <is>
          <t xml:space="preserve">NO ENVIO FOTO DE LA FACTURA CON LA CANTIDAD RECIBIDA </t>
        </is>
      </c>
      <c r="K36" s="3" t="n"/>
    </row>
    <row r="37">
      <c r="A37" t="inlineStr">
        <is>
          <t>CENTRAL</t>
        </is>
      </c>
      <c r="B37" t="inlineStr">
        <is>
          <t>LACTEOS CORRALITO, F.P</t>
        </is>
      </c>
      <c r="C37" s="8" t="n">
        <v>673</v>
      </c>
      <c r="D37" s="6" t="n">
        <v>46134</v>
      </c>
      <c r="E37" t="inlineStr">
        <is>
          <t>RECEPCION</t>
        </is>
      </c>
      <c r="F37" t="inlineStr">
        <is>
          <t>PETER ARANDA</t>
        </is>
      </c>
      <c r="G37" t="inlineStr">
        <is>
          <t>DOCUMENTO NO LEGIBLE</t>
        </is>
      </c>
      <c r="H37">
        <f>IF(G37="","",VLOOKUP(G37,REFERENCIA!$A$1:$B$15,2,0))</f>
        <v/>
      </c>
      <c r="I37" t="inlineStr">
        <is>
          <t xml:space="preserve">NO ENVIO FOTO DE LA FACTURA CON LA CANTIDAD RECIBIDA </t>
        </is>
      </c>
      <c r="K37" s="3" t="n"/>
    </row>
    <row r="38">
      <c r="A38" t="inlineStr">
        <is>
          <t>CENTRAL</t>
        </is>
      </c>
      <c r="B38" t="inlineStr">
        <is>
          <t>DISTRIBUIDORA Y BODEGON LOS PERICOS, C.A</t>
        </is>
      </c>
      <c r="C38" s="8" t="n">
        <v>167</v>
      </c>
      <c r="D38" s="6" t="n">
        <v>46140</v>
      </c>
      <c r="E38" t="inlineStr">
        <is>
          <t>RECEPCION</t>
        </is>
      </c>
      <c r="F38" t="inlineStr">
        <is>
          <t>PETER ARANDA</t>
        </is>
      </c>
      <c r="G38" t="inlineStr">
        <is>
          <t>DIFERENCIA ENTRE CANTIDAD FISCALIZADA Y DOCUMENTO.</t>
        </is>
      </c>
      <c r="H38">
        <f>IF(G38="","",VLOOKUP(G38,REFERENCIA!$A$1:$B$15,2,0))</f>
        <v/>
      </c>
      <c r="I38" t="inlineStr">
        <is>
          <t>EN SISTEMA COLOCARON 109 KG DE BAGRE Y EN  FACTURA 109,5KG, DIFERENCIA 500 GRAMOS</t>
        </is>
      </c>
      <c r="J38" s="4" t="n">
        <v>3.085</v>
      </c>
      <c r="K38" s="3" t="n"/>
    </row>
    <row r="39">
      <c r="A39" t="inlineStr">
        <is>
          <t>CENTRAL</t>
        </is>
      </c>
      <c r="B39" t="inlineStr">
        <is>
          <t>INVERSIONES R.C.B 2025, C.A</t>
        </is>
      </c>
      <c r="C39" s="8" t="n">
        <v>104</v>
      </c>
      <c r="D39" s="6" t="n">
        <v>46140</v>
      </c>
      <c r="E39" t="inlineStr">
        <is>
          <t>RECEPCION</t>
        </is>
      </c>
      <c r="F39" t="inlineStr">
        <is>
          <t>PETER ARANDA</t>
        </is>
      </c>
      <c r="G39" t="inlineStr">
        <is>
          <t>DOCUMENTO NO LEGIBLE</t>
        </is>
      </c>
      <c r="H39">
        <f>IF(G39="","",VLOOKUP(G39,REFERENCIA!$A$1:$B$15,2,0))</f>
        <v/>
      </c>
      <c r="I39" t="inlineStr">
        <is>
          <t xml:space="preserve">NO ENVIO FOTO DE LA FACTURA CON LA CANTIDAD RECIBIDA </t>
        </is>
      </c>
      <c r="K39" s="3" t="n"/>
    </row>
    <row r="40">
      <c r="A40" t="inlineStr">
        <is>
          <t>CENTRAL</t>
        </is>
      </c>
      <c r="B40" t="inlineStr">
        <is>
          <t>DISTRIBUIDORA Y BODEGON LOS PERICOS, C.A</t>
        </is>
      </c>
      <c r="C40" s="8" t="n">
        <v>167</v>
      </c>
      <c r="D40" s="6" t="n">
        <v>46140</v>
      </c>
      <c r="E40" t="inlineStr">
        <is>
          <t>RECEPCION</t>
        </is>
      </c>
      <c r="F40" t="inlineStr">
        <is>
          <t>PETER ARANDA</t>
        </is>
      </c>
      <c r="G40" t="inlineStr">
        <is>
          <t>DOCUMENTO NO LEGIBLE</t>
        </is>
      </c>
      <c r="H40">
        <f>IF(G40="","",VLOOKUP(G40,REFERENCIA!$A$1:$B$15,2,0))</f>
        <v/>
      </c>
      <c r="I40" t="inlineStr">
        <is>
          <t xml:space="preserve">NO ENVIO FOTO DE LA FACTURA CON LA CANTIDAD RECIBIDA </t>
        </is>
      </c>
      <c r="K40" s="3" t="n"/>
    </row>
    <row r="41">
      <c r="A41" t="inlineStr">
        <is>
          <t>CENTRAL</t>
        </is>
      </c>
      <c r="B41" t="inlineStr">
        <is>
          <t>DISTRIBUIDORA Y BODEGON LOS PERICOS, C.A</t>
        </is>
      </c>
      <c r="C41" s="8" t="n">
        <v>169</v>
      </c>
      <c r="D41" s="6" t="n">
        <v>46140</v>
      </c>
      <c r="E41" t="inlineStr">
        <is>
          <t>RECEPCION</t>
        </is>
      </c>
      <c r="F41" t="inlineStr">
        <is>
          <t>PETER ARANDA</t>
        </is>
      </c>
      <c r="G41" t="inlineStr">
        <is>
          <t>DOCUMENTO NO LEGIBLE</t>
        </is>
      </c>
      <c r="H41">
        <f>IF(G41="","",VLOOKUP(G41,REFERENCIA!$A$1:$B$15,2,0))</f>
        <v/>
      </c>
      <c r="I41" t="inlineStr">
        <is>
          <t xml:space="preserve">NO ENVIO FOTO DE LA FACTURA CON LA CANTIDAD RECIBIDA </t>
        </is>
      </c>
      <c r="K41" s="3" t="n"/>
    </row>
    <row r="42">
      <c r="A42" t="inlineStr">
        <is>
          <t>CENTRAL</t>
        </is>
      </c>
      <c r="B42" t="inlineStr">
        <is>
          <t>INVERSIONES R.C.B 2025, C.A</t>
        </is>
      </c>
      <c r="C42" s="8" t="n">
        <v>105</v>
      </c>
      <c r="D42" s="6" t="n">
        <v>46140</v>
      </c>
      <c r="E42" t="inlineStr">
        <is>
          <t>RECEPCION</t>
        </is>
      </c>
      <c r="F42" t="inlineStr">
        <is>
          <t>PETER ARANDA</t>
        </is>
      </c>
      <c r="G42" t="inlineStr">
        <is>
          <t>DOCUMENTO NO LEGIBLE</t>
        </is>
      </c>
      <c r="H42">
        <f>IF(G42="","",VLOOKUP(G42,REFERENCIA!$A$1:$B$15,2,0))</f>
        <v/>
      </c>
      <c r="I42" t="inlineStr">
        <is>
          <t xml:space="preserve">NO ENVIO FOTO DE LA FACTURA CON LA CANTIDAD RECIBIDA </t>
        </is>
      </c>
      <c r="K42" s="3" t="n"/>
    </row>
    <row r="43">
      <c r="A43" t="inlineStr">
        <is>
          <t>CENTRAL</t>
        </is>
      </c>
      <c r="B43" t="inlineStr">
        <is>
          <t>CAVA LUXOR</t>
        </is>
      </c>
      <c r="D43" s="6" t="n">
        <v>46140</v>
      </c>
      <c r="E43" t="inlineStr">
        <is>
          <t>RECEPCION</t>
        </is>
      </c>
      <c r="F43" t="inlineStr">
        <is>
          <t>YOVIT ANTONIO</t>
        </is>
      </c>
      <c r="G43" t="inlineStr">
        <is>
          <t>DIFERENCIA ENTRE CANTIDAD FISCALIZADA Y DOCUMENTO.</t>
        </is>
      </c>
      <c r="H43">
        <f>IF(G43="","",VLOOKUP(G43,REFERENCIA!$A$1:$B$15,2,0))</f>
        <v/>
      </c>
      <c r="I43" t="inlineStr">
        <is>
          <t>AL MOMENTO DE CARGAR LA MERCANCIA EL CHOFER YOVIY GONZALEZ DEJO CAER BULTO DE SALSA DE SOYA DE 150CC QUEBRANDO 9 UNIDADES</t>
        </is>
      </c>
      <c r="J43" s="2" t="n">
        <v>15.01</v>
      </c>
      <c r="K43" s="3" t="inlineStr">
        <is>
          <t>00140362</t>
        </is>
      </c>
    </row>
    <row r="44">
      <c r="A44" t="inlineStr">
        <is>
          <t>CENTRAL</t>
        </is>
      </c>
      <c r="B44" t="inlineStr">
        <is>
          <t>INVERSIONES R.C.B 2025, C.A</t>
        </is>
      </c>
      <c r="C44" s="8" t="n">
        <v>103</v>
      </c>
      <c r="D44" s="6" t="n">
        <v>46140</v>
      </c>
      <c r="E44" t="inlineStr">
        <is>
          <t>RECEPCION</t>
        </is>
      </c>
      <c r="F44" t="inlineStr">
        <is>
          <t>PETER ARANDA</t>
        </is>
      </c>
      <c r="G44" t="inlineStr">
        <is>
          <t>DOCUMENTO NO LEGIBLE</t>
        </is>
      </c>
      <c r="H44">
        <f>IF(G44="","",VLOOKUP(G44,REFERENCIA!$A$1:$B$15,2,0))</f>
        <v/>
      </c>
      <c r="I44" t="inlineStr">
        <is>
          <t xml:space="preserve">NO ENVIO FOTO DE LA FACTURA CON LA CANTIDAD RECIBIDA </t>
        </is>
      </c>
      <c r="K44" s="3" t="n"/>
    </row>
    <row r="45">
      <c r="A45" t="inlineStr">
        <is>
          <t>CENTRAL</t>
        </is>
      </c>
      <c r="B45" t="inlineStr">
        <is>
          <t>DISTRIBUIDORA Y BODEGON LOS PERICOS, C.A</t>
        </is>
      </c>
      <c r="C45" s="8" t="n">
        <v>168</v>
      </c>
      <c r="D45" s="6" t="n">
        <v>46140</v>
      </c>
      <c r="E45" t="inlineStr">
        <is>
          <t>RECEPCION</t>
        </is>
      </c>
      <c r="F45" t="inlineStr">
        <is>
          <t>PETER ARANDA</t>
        </is>
      </c>
      <c r="G45" t="inlineStr">
        <is>
          <t>DOCUMENTO NO LEGIBLE</t>
        </is>
      </c>
      <c r="H45">
        <f>IF(G45="","",VLOOKUP(G45,REFERENCIA!$A$1:$B$15,2,0))</f>
        <v/>
      </c>
      <c r="I45" t="inlineStr">
        <is>
          <t xml:space="preserve">NO ENVIO FOTO DE LA FACTURA CON LA CANTIDAD RECIBIDA </t>
        </is>
      </c>
      <c r="K45" s="3" t="n"/>
    </row>
    <row r="46">
      <c r="A46" t="inlineStr">
        <is>
          <t>CENTRAL</t>
        </is>
      </c>
      <c r="B46" t="inlineStr">
        <is>
          <t>DISTRIBUIDORA METROPOLIS, CA</t>
        </is>
      </c>
      <c r="C46" s="8" t="inlineStr">
        <is>
          <t>B011753</t>
        </is>
      </c>
      <c r="D46" s="6" t="n">
        <v>46141</v>
      </c>
      <c r="E46" t="inlineStr">
        <is>
          <t>RECEPCION</t>
        </is>
      </c>
      <c r="F46" t="inlineStr">
        <is>
          <t>BEATRIZ REYES</t>
        </is>
      </c>
      <c r="G46" t="inlineStr">
        <is>
          <t>DOCUMENTO NO LEGIBLE</t>
        </is>
      </c>
      <c r="H46">
        <f>IF(G46="","",VLOOKUP(G46,REFERENCIA!$A$1:$B$15,2,0))</f>
        <v/>
      </c>
      <c r="I46" t="inlineStr">
        <is>
          <t>ENVIO FOTO BORROSA DE LA FACTURA, SE LE SOLICITO REPETIRLAS Y NO LO HIZO</t>
        </is>
      </c>
      <c r="K46" s="3" t="n"/>
    </row>
    <row r="47">
      <c r="A47" t="inlineStr">
        <is>
          <t>CENTRAL</t>
        </is>
      </c>
      <c r="B47" t="inlineStr">
        <is>
          <t>DISTRIBUIDORA METROPOLIS, CA</t>
        </is>
      </c>
      <c r="C47" s="8" t="inlineStr">
        <is>
          <t>B011769</t>
        </is>
      </c>
      <c r="D47" s="6" t="n">
        <v>46141</v>
      </c>
      <c r="E47" t="inlineStr">
        <is>
          <t>RECEPCION</t>
        </is>
      </c>
      <c r="F47" t="inlineStr">
        <is>
          <t>BEATRIZ REYES</t>
        </is>
      </c>
      <c r="G47" t="inlineStr">
        <is>
          <t>DOCUMENTO NO LEGIBLE</t>
        </is>
      </c>
      <c r="H47">
        <f>IF(G47="","",VLOOKUP(G47,REFERENCIA!$A$1:$B$15,2,0))</f>
        <v/>
      </c>
      <c r="I47" t="inlineStr">
        <is>
          <t>ENVIO FOTO BORROSA DE LA FACTURA, SE LE SOLICITO REPETIRLAS Y NO LO HIZO</t>
        </is>
      </c>
      <c r="K47" s="3" t="n"/>
    </row>
    <row r="48">
      <c r="A48" t="inlineStr">
        <is>
          <t>CENTRAL</t>
        </is>
      </c>
      <c r="B48" t="inlineStr">
        <is>
          <t>DISTRIBUIDORA METROPOLIS, CA</t>
        </is>
      </c>
      <c r="C48" s="8" t="inlineStr">
        <is>
          <t>B011754</t>
        </is>
      </c>
      <c r="D48" s="6" t="n">
        <v>46141</v>
      </c>
      <c r="E48" t="inlineStr">
        <is>
          <t>RECEPCION</t>
        </is>
      </c>
      <c r="F48" t="inlineStr">
        <is>
          <t>BEATRIZ REYES</t>
        </is>
      </c>
      <c r="G48" t="inlineStr">
        <is>
          <t>DOCUMENTO NO LEGIBLE</t>
        </is>
      </c>
      <c r="H48">
        <f>IF(G48="","",VLOOKUP(G48,REFERENCIA!$A$1:$B$15,2,0))</f>
        <v/>
      </c>
      <c r="I48" t="inlineStr">
        <is>
          <t>ENVIO FOTO BORROSA DE LA FACTURA, SE LE SOLICITO REPETIRLAS Y NO LO HIZO</t>
        </is>
      </c>
      <c r="K48" s="3" t="n"/>
    </row>
    <row r="49">
      <c r="A49" t="inlineStr">
        <is>
          <t>CENTRAL</t>
        </is>
      </c>
      <c r="B49" t="inlineStr">
        <is>
          <t>DISTRIBUIDORA METROPOLIS, CA</t>
        </is>
      </c>
      <c r="C49" s="8" t="inlineStr">
        <is>
          <t>B011755</t>
        </is>
      </c>
      <c r="D49" s="6" t="n">
        <v>46141</v>
      </c>
      <c r="E49" t="inlineStr">
        <is>
          <t>RECEPCION</t>
        </is>
      </c>
      <c r="F49" t="inlineStr">
        <is>
          <t>BEATRIZ REYES</t>
        </is>
      </c>
      <c r="G49" t="inlineStr">
        <is>
          <t>DOCUMENTO NO LEGIBLE</t>
        </is>
      </c>
      <c r="H49">
        <f>IF(G49="","",VLOOKUP(G49,REFERENCIA!$A$1:$B$15,2,0))</f>
        <v/>
      </c>
      <c r="I49" t="inlineStr">
        <is>
          <t>ENVIO FOTO BORROSA DE LA FACTURA, SE LE SOLICITO REPETIRLAS Y NO LO HIZO</t>
        </is>
      </c>
      <c r="K49" s="3" t="n"/>
    </row>
    <row r="50">
      <c r="A50" t="inlineStr">
        <is>
          <t>CENTRAL</t>
        </is>
      </c>
      <c r="B50" t="inlineStr">
        <is>
          <t>DISTRIBUIDORA METROPOLIS, CA</t>
        </is>
      </c>
      <c r="C50" s="8" t="inlineStr">
        <is>
          <t>B011766</t>
        </is>
      </c>
      <c r="D50" s="6" t="n">
        <v>46141</v>
      </c>
      <c r="E50" t="inlineStr">
        <is>
          <t>RECEPCION</t>
        </is>
      </c>
      <c r="F50" t="inlineStr">
        <is>
          <t>BEATRIZ REYES</t>
        </is>
      </c>
      <c r="G50" t="inlineStr">
        <is>
          <t>DOCUMENTO NO LEGIBLE</t>
        </is>
      </c>
      <c r="H50">
        <f>IF(G50="","",VLOOKUP(G50,REFERENCIA!$A$1:$B$15,2,0))</f>
        <v/>
      </c>
      <c r="I50" t="inlineStr">
        <is>
          <t>ENVIO FOTO BORROSA DE LA FACTURA, SE LE SOLICITO REPETIRLAS Y NO LO HIZO</t>
        </is>
      </c>
      <c r="K50" s="3" t="n"/>
    </row>
    <row r="51">
      <c r="A51" t="inlineStr">
        <is>
          <t>CENTRAL</t>
        </is>
      </c>
      <c r="B51" t="inlineStr">
        <is>
          <t>DISTRIBUIDORA METROPOLIS, CA</t>
        </is>
      </c>
      <c r="C51" s="8" t="inlineStr">
        <is>
          <t>B011752</t>
        </is>
      </c>
      <c r="D51" s="6" t="n">
        <v>46141</v>
      </c>
      <c r="E51" t="inlineStr">
        <is>
          <t>RECEPCION</t>
        </is>
      </c>
      <c r="F51" t="inlineStr">
        <is>
          <t>BEATRIZ REYES</t>
        </is>
      </c>
      <c r="G51" t="inlineStr">
        <is>
          <t>DOCUMENTO NO LEGIBLE</t>
        </is>
      </c>
      <c r="H51">
        <f>IF(G51="","",VLOOKUP(G51,REFERENCIA!$A$1:$B$15,2,0))</f>
        <v/>
      </c>
      <c r="I51" t="inlineStr">
        <is>
          <t>ENVIO FOTO BORROSA DE LA FACTURA, SE LE SOLICITO REPETIRLAS Y NO LO HIZO</t>
        </is>
      </c>
      <c r="K51" s="3" t="n"/>
    </row>
    <row r="52">
      <c r="A52" t="inlineStr">
        <is>
          <t>CENTRAL</t>
        </is>
      </c>
      <c r="B52" t="inlineStr">
        <is>
          <t>DISTRIBUIDORA METROPOLIS, CA</t>
        </is>
      </c>
      <c r="C52" s="8" t="inlineStr">
        <is>
          <t>B011765</t>
        </is>
      </c>
      <c r="D52" s="6" t="n">
        <v>46141</v>
      </c>
      <c r="E52" t="inlineStr">
        <is>
          <t>RECEPCION</t>
        </is>
      </c>
      <c r="F52" t="inlineStr">
        <is>
          <t>BEATRIZ REYES</t>
        </is>
      </c>
      <c r="G52" t="inlineStr">
        <is>
          <t>DOCUMENTO NO LEGIBLE</t>
        </is>
      </c>
      <c r="H52">
        <f>IF(G52="","",VLOOKUP(G52,REFERENCIA!$A$1:$B$15,2,0))</f>
        <v/>
      </c>
      <c r="I52" t="inlineStr">
        <is>
          <t>ENVIO FOTO BORROSA DE LA FACTURA, SE LE SOLICITO REPETIRLAS Y NO LO HIZO</t>
        </is>
      </c>
      <c r="K52" s="3" t="n"/>
    </row>
    <row r="53">
      <c r="A53" t="inlineStr">
        <is>
          <t>CENTRAL</t>
        </is>
      </c>
      <c r="B53" t="inlineStr">
        <is>
          <t>DISTRIBUIDORA METROPOLIS, CA</t>
        </is>
      </c>
      <c r="C53" s="8" t="inlineStr">
        <is>
          <t>B011759</t>
        </is>
      </c>
      <c r="D53" s="6" t="n">
        <v>46141</v>
      </c>
      <c r="E53" t="inlineStr">
        <is>
          <t>RECEPCION</t>
        </is>
      </c>
      <c r="F53" t="inlineStr">
        <is>
          <t>BEATRIZ REYES</t>
        </is>
      </c>
      <c r="G53" t="inlineStr">
        <is>
          <t>DOCUMENTO NO LEGIBLE</t>
        </is>
      </c>
      <c r="H53">
        <f>IF(G53="","",VLOOKUP(G53,REFERENCIA!$A$1:$B$15,2,0))</f>
        <v/>
      </c>
      <c r="I53" t="inlineStr">
        <is>
          <t>ENVIO FOTO BORROSA DE LA FACTURA, SE LE SOLICITO REPETIRLAS Y NO LO HIZO</t>
        </is>
      </c>
      <c r="K53" s="3" t="n"/>
    </row>
    <row r="54">
      <c r="A54" t="inlineStr">
        <is>
          <t>CENTRAL</t>
        </is>
      </c>
      <c r="B54" t="inlineStr">
        <is>
          <t>DISTRIBUIDORA METROPOLIS, CA</t>
        </is>
      </c>
      <c r="C54" s="8" t="inlineStr">
        <is>
          <t>B011760</t>
        </is>
      </c>
      <c r="D54" s="6" t="n">
        <v>46141</v>
      </c>
      <c r="E54" t="inlineStr">
        <is>
          <t>RECEPCION</t>
        </is>
      </c>
      <c r="F54" t="inlineStr">
        <is>
          <t>BEATRIZ REYES</t>
        </is>
      </c>
      <c r="G54" t="inlineStr">
        <is>
          <t>DOCUMENTO NO LEGIBLE</t>
        </is>
      </c>
      <c r="H54">
        <f>IF(G54="","",VLOOKUP(G54,REFERENCIA!$A$1:$B$15,2,0))</f>
        <v/>
      </c>
      <c r="I54" t="inlineStr">
        <is>
          <t>ENVIO FOTO BORROSA DE LA FACTURA, SE LE SOLICITO REPETIRLAS Y NO LO HIZO</t>
        </is>
      </c>
      <c r="K54" s="3" t="n"/>
    </row>
    <row r="55">
      <c r="A55" t="inlineStr">
        <is>
          <t>CENTRAL</t>
        </is>
      </c>
      <c r="B55" t="inlineStr">
        <is>
          <t>DISTRIBUIDORA METROPOLIS, CA</t>
        </is>
      </c>
      <c r="C55" s="8" t="inlineStr">
        <is>
          <t>B011757</t>
        </is>
      </c>
      <c r="D55" s="6" t="n">
        <v>46141</v>
      </c>
      <c r="E55" t="inlineStr">
        <is>
          <t>RECEPCION</t>
        </is>
      </c>
      <c r="F55" t="inlineStr">
        <is>
          <t>BEATRIZ REYES</t>
        </is>
      </c>
      <c r="G55" t="inlineStr">
        <is>
          <t>DOCUMENTO NO LEGIBLE</t>
        </is>
      </c>
      <c r="H55">
        <f>IF(G55="","",VLOOKUP(G55,REFERENCIA!$A$1:$B$15,2,0))</f>
        <v/>
      </c>
      <c r="I55" t="inlineStr">
        <is>
          <t>ENVIO FOTO BORROSA DE LA FACTURA, SE LE SOLICITO REPETIRLAS Y NO LO HIZO</t>
        </is>
      </c>
      <c r="K55" s="3" t="n"/>
    </row>
    <row r="56">
      <c r="A56" t="inlineStr">
        <is>
          <t>CENTRAL</t>
        </is>
      </c>
      <c r="B56" t="inlineStr">
        <is>
          <t>DISTRIBUIDORA METROPOLIS, CA</t>
        </is>
      </c>
      <c r="C56" s="8" t="inlineStr">
        <is>
          <t>B011749</t>
        </is>
      </c>
      <c r="D56" s="6" t="n">
        <v>46141</v>
      </c>
      <c r="E56" t="inlineStr">
        <is>
          <t>RECEPCION</t>
        </is>
      </c>
      <c r="F56" t="inlineStr">
        <is>
          <t>BEATRIZ REYES</t>
        </is>
      </c>
      <c r="G56" t="inlineStr">
        <is>
          <t>DOCUMENTO NO LEGIBLE</t>
        </is>
      </c>
      <c r="H56">
        <f>IF(G56="","",VLOOKUP(G56,REFERENCIA!$A$1:$B$15,2,0))</f>
        <v/>
      </c>
      <c r="I56" t="inlineStr">
        <is>
          <t>ENVIO FOTO BORROSA DE LA FACTURA, SE LE SOLICITO REPETIRLAS Y NO LO HIZO</t>
        </is>
      </c>
      <c r="K56" s="3" t="n"/>
    </row>
    <row r="57">
      <c r="A57" t="inlineStr">
        <is>
          <t>CENTRAL</t>
        </is>
      </c>
      <c r="B57" t="inlineStr">
        <is>
          <t>DISTRIBUIDORA METROPOLIS, CA</t>
        </is>
      </c>
      <c r="C57" s="8" t="inlineStr">
        <is>
          <t>B011758</t>
        </is>
      </c>
      <c r="D57" s="6" t="n">
        <v>46141</v>
      </c>
      <c r="E57" t="inlineStr">
        <is>
          <t>RECEPCION</t>
        </is>
      </c>
      <c r="F57" t="inlineStr">
        <is>
          <t>BEATRIZ REYES</t>
        </is>
      </c>
      <c r="G57" t="inlineStr">
        <is>
          <t>DOCUMENTO NO LEGIBLE</t>
        </is>
      </c>
      <c r="H57">
        <f>IF(G57="","",VLOOKUP(G57,REFERENCIA!$A$1:$B$15,2,0))</f>
        <v/>
      </c>
      <c r="I57" t="inlineStr">
        <is>
          <t>ENVIO FOTO BORROSA DE LA FACTURA, SE LE SOLICITO REPETIRLAS Y NO LO HIZO</t>
        </is>
      </c>
      <c r="K57" s="3" t="n"/>
    </row>
    <row r="58">
      <c r="A58" t="inlineStr">
        <is>
          <t>CENTRAL</t>
        </is>
      </c>
      <c r="B58" t="inlineStr">
        <is>
          <t>DISTRIBUIDORA METROPOLIS, CA</t>
        </is>
      </c>
      <c r="C58" s="8" t="inlineStr">
        <is>
          <t>B011768</t>
        </is>
      </c>
      <c r="D58" s="6" t="n">
        <v>46141</v>
      </c>
      <c r="E58" t="inlineStr">
        <is>
          <t>RECEPCION</t>
        </is>
      </c>
      <c r="F58" t="inlineStr">
        <is>
          <t>BEATRIZ REYES</t>
        </is>
      </c>
      <c r="G58" t="inlineStr">
        <is>
          <t>DOCUMENTO NO LEGIBLE</t>
        </is>
      </c>
      <c r="H58">
        <f>IF(G58="","",VLOOKUP(G58,REFERENCIA!$A$1:$B$15,2,0))</f>
        <v/>
      </c>
      <c r="I58" t="inlineStr">
        <is>
          <t>ENVIO FOTO BORROSA DE LA FACTURA, SE LE SOLICITO REPETIRLAS Y NO LO HIZO</t>
        </is>
      </c>
      <c r="K58" s="3" t="n"/>
    </row>
    <row r="59">
      <c r="A59" t="inlineStr">
        <is>
          <t>CENTRAL</t>
        </is>
      </c>
      <c r="B59" t="inlineStr">
        <is>
          <t>DISTRIBUIDORA METROPOLIS, CA</t>
        </is>
      </c>
      <c r="C59" s="8" t="inlineStr">
        <is>
          <t>B011756</t>
        </is>
      </c>
      <c r="D59" s="6" t="n">
        <v>46141</v>
      </c>
      <c r="E59" t="inlineStr">
        <is>
          <t>RECEPCION</t>
        </is>
      </c>
      <c r="F59" t="inlineStr">
        <is>
          <t>BEATRIZ REYES</t>
        </is>
      </c>
      <c r="G59" t="inlineStr">
        <is>
          <t>DOCUMENTO NO LEGIBLE</t>
        </is>
      </c>
      <c r="H59">
        <f>IF(G59="","",VLOOKUP(G59,REFERENCIA!$A$1:$B$15,2,0))</f>
        <v/>
      </c>
      <c r="I59" t="inlineStr">
        <is>
          <t>ENVIO FOTO BORROSA DE LA FACTURA, SE LE SOLICITO REPETIRLAS Y NO LO HIZO</t>
        </is>
      </c>
      <c r="K59" s="3" t="n"/>
    </row>
    <row r="60">
      <c r="A60" t="inlineStr">
        <is>
          <t>CENTRAL</t>
        </is>
      </c>
      <c r="B60" t="inlineStr">
        <is>
          <t>DISTRIBUIDORA METROPOLIS, CA</t>
        </is>
      </c>
      <c r="C60" s="8" t="inlineStr">
        <is>
          <t>B011767</t>
        </is>
      </c>
      <c r="D60" s="6" t="n">
        <v>46141</v>
      </c>
      <c r="E60" t="inlineStr">
        <is>
          <t>RECEPCION</t>
        </is>
      </c>
      <c r="F60" t="inlineStr">
        <is>
          <t>BEATRIZ REYES</t>
        </is>
      </c>
      <c r="G60" t="inlineStr">
        <is>
          <t>DOCUMENTO NO LEGIBLE</t>
        </is>
      </c>
      <c r="H60">
        <f>IF(G60="","",VLOOKUP(G60,REFERENCIA!$A$1:$B$15,2,0))</f>
        <v/>
      </c>
      <c r="I60" t="inlineStr">
        <is>
          <t>ENVIO FOTO BORROSA DE LA FACTURA, SE LE SOLICITO REPETIRLAS Y NO LO HIZO</t>
        </is>
      </c>
      <c r="K60" s="3" t="n"/>
    </row>
    <row r="61">
      <c r="A61" t="inlineStr">
        <is>
          <t>CENTRAL</t>
        </is>
      </c>
      <c r="B61" t="inlineStr">
        <is>
          <t>DISTRIBUIDORA METROPOLIS, CA</t>
        </is>
      </c>
      <c r="C61" s="8" t="inlineStr">
        <is>
          <t>B011763</t>
        </is>
      </c>
      <c r="D61" s="6" t="n">
        <v>46141</v>
      </c>
      <c r="E61" t="inlineStr">
        <is>
          <t>RECEPCION</t>
        </is>
      </c>
      <c r="F61" t="inlineStr">
        <is>
          <t>BEATRIZ REYES</t>
        </is>
      </c>
      <c r="G61" t="inlineStr">
        <is>
          <t>DOCUMENTO NO LEGIBLE</t>
        </is>
      </c>
      <c r="H61">
        <f>IF(G61="","",VLOOKUP(G61,REFERENCIA!$A$1:$B$15,2,0))</f>
        <v/>
      </c>
      <c r="I61" t="inlineStr">
        <is>
          <t>ENVIO FOTO BORROSA DE LA FACTURA, SE LE SOLICITO REPETIRLAS Y NO LO HIZO</t>
        </is>
      </c>
      <c r="K61" s="3" t="n"/>
    </row>
    <row r="62">
      <c r="A62" t="inlineStr">
        <is>
          <t>CENTRAL</t>
        </is>
      </c>
      <c r="B62" t="inlineStr">
        <is>
          <t>DISTRIBUIDORA METROPOLIS, CA</t>
        </is>
      </c>
      <c r="C62" s="8" t="inlineStr">
        <is>
          <t>B011764</t>
        </is>
      </c>
      <c r="D62" s="6" t="n">
        <v>46141</v>
      </c>
      <c r="E62" t="inlineStr">
        <is>
          <t>RECEPCION</t>
        </is>
      </c>
      <c r="F62" t="inlineStr">
        <is>
          <t>BEATRIZ REYES</t>
        </is>
      </c>
      <c r="G62" t="inlineStr">
        <is>
          <t>DOCUMENTO NO LEGIBLE</t>
        </is>
      </c>
      <c r="H62">
        <f>IF(G62="","",VLOOKUP(G62,REFERENCIA!$A$1:$B$15,2,0))</f>
        <v/>
      </c>
      <c r="I62" t="inlineStr">
        <is>
          <t>ENVIO FOTO BORROSA DE LA FACTURA, SE LE SOLICITO REPETIRLAS Y NO LO HIZO</t>
        </is>
      </c>
      <c r="K62" s="3" t="n"/>
    </row>
    <row r="63">
      <c r="A63" t="inlineStr">
        <is>
          <t>CENTRAL</t>
        </is>
      </c>
      <c r="B63" t="inlineStr">
        <is>
          <t>DISTRIBUIDORA METROPOLIS, CA</t>
        </is>
      </c>
      <c r="C63" s="8" t="inlineStr">
        <is>
          <t>B011747</t>
        </is>
      </c>
      <c r="D63" s="6" t="n">
        <v>46141</v>
      </c>
      <c r="E63" t="inlineStr">
        <is>
          <t>RECEPCION</t>
        </is>
      </c>
      <c r="F63" t="inlineStr">
        <is>
          <t>BEATRIZ REYES</t>
        </is>
      </c>
      <c r="G63" t="inlineStr">
        <is>
          <t>DOCUMENTO NO LEGIBLE</t>
        </is>
      </c>
      <c r="H63">
        <f>IF(G63="","",VLOOKUP(G63,REFERENCIA!$A$1:$B$15,2,0))</f>
        <v/>
      </c>
      <c r="I63" t="inlineStr">
        <is>
          <t>ENVIO FOTO BORROSA DE LA FACTURA, SE LE SOLICITO REPETIRLAS Y NO LO HIZO</t>
        </is>
      </c>
      <c r="K63" s="3" t="n"/>
    </row>
    <row r="64">
      <c r="A64" t="inlineStr">
        <is>
          <t>CENTRAL</t>
        </is>
      </c>
      <c r="B64" t="inlineStr">
        <is>
          <t>DISTRIBUIDORA METROPOLIS, CA</t>
        </is>
      </c>
      <c r="C64" s="8" t="inlineStr">
        <is>
          <t>B011748</t>
        </is>
      </c>
      <c r="D64" s="6" t="n">
        <v>46141</v>
      </c>
      <c r="E64" t="inlineStr">
        <is>
          <t>RECEPCION</t>
        </is>
      </c>
      <c r="F64" t="inlineStr">
        <is>
          <t>BEATRIZ REYES</t>
        </is>
      </c>
      <c r="G64" t="inlineStr">
        <is>
          <t>DOCUMENTO NO LEGIBLE</t>
        </is>
      </c>
      <c r="H64">
        <f>IF(G64="","",VLOOKUP(G64,REFERENCIA!$A$1:$B$15,2,0))</f>
        <v/>
      </c>
      <c r="I64" t="inlineStr">
        <is>
          <t>ENVIO FOTO BORROSA DE LA FACTURA, SE LE SOLICITO REPETIRLAS Y NO LO HIZO</t>
        </is>
      </c>
      <c r="K64" s="3" t="n"/>
    </row>
    <row r="65">
      <c r="A65" t="inlineStr">
        <is>
          <t>CENTRAL</t>
        </is>
      </c>
      <c r="B65" t="inlineStr">
        <is>
          <t>DISTRIBUIDORA METROPOLIS, CA</t>
        </is>
      </c>
      <c r="C65" s="8" t="inlineStr">
        <is>
          <t>B011751</t>
        </is>
      </c>
      <c r="D65" s="6" t="n">
        <v>46141</v>
      </c>
      <c r="E65" t="inlineStr">
        <is>
          <t>RECEPCION</t>
        </is>
      </c>
      <c r="F65" t="inlineStr">
        <is>
          <t>BEATRIZ REYES</t>
        </is>
      </c>
      <c r="G65" t="inlineStr">
        <is>
          <t>DOCUMENTO NO LEGIBLE</t>
        </is>
      </c>
      <c r="H65">
        <f>IF(G65="","",VLOOKUP(G65,REFERENCIA!$A$1:$B$15,2,0))</f>
        <v/>
      </c>
      <c r="I65" t="inlineStr">
        <is>
          <t>ENVIO FOTO BORROSA DE LA FACTURA, SE LE SOLICITO REPETIRLAS Y NO LO HIZO</t>
        </is>
      </c>
      <c r="K65" s="3" t="n"/>
    </row>
    <row r="66">
      <c r="H66">
        <f>IF(G66="","",VLOOKUP(G66,REFERENCIA!$A$1:$B$15,2,0))</f>
        <v/>
      </c>
      <c r="K66" s="3" t="n"/>
    </row>
    <row r="67">
      <c r="H67">
        <f>IF(G67="","",VLOOKUP(G67,REFERENCIA!$A$1:$B$15,2,0))</f>
        <v/>
      </c>
      <c r="K67" s="3" t="n"/>
    </row>
    <row r="68">
      <c r="H68">
        <f>IF(G68="","",VLOOKUP(G68,REFERENCIA!$A$1:$B$15,2,0))</f>
        <v/>
      </c>
      <c r="K68" s="3" t="n"/>
    </row>
    <row r="69">
      <c r="H69">
        <f>IF(G69="","",VLOOKUP(G69,REFERENCIA!$A$1:$B$15,2,0))</f>
        <v/>
      </c>
      <c r="K69" s="3" t="n"/>
    </row>
    <row r="70">
      <c r="H70">
        <f>IF(G70="","",VLOOKUP(G70,REFERENCIA!$A$1:$B$15,2,0))</f>
        <v/>
      </c>
      <c r="K70" s="3" t="n"/>
    </row>
    <row r="71">
      <c r="H71">
        <f>IF(G71="","",VLOOKUP(G71,REFERENCIA!$A$1:$B$15,2,0))</f>
        <v/>
      </c>
      <c r="K71" s="3" t="n"/>
    </row>
    <row r="72">
      <c r="H72">
        <f>IF(G72="","",VLOOKUP(G72,REFERENCIA!$A$1:$B$15,2,0))</f>
        <v/>
      </c>
      <c r="K72" s="3" t="n"/>
    </row>
    <row r="73">
      <c r="H73">
        <f>IF(G73="","",VLOOKUP(G73,REFERENCIA!$A$1:$B$15,2,0))</f>
        <v/>
      </c>
      <c r="K73" s="3" t="n"/>
    </row>
    <row r="74">
      <c r="H74">
        <f>IF(G74="","",VLOOKUP(G74,REFERENCIA!$A$1:$B$15,2,0))</f>
        <v/>
      </c>
      <c r="K74" s="3" t="n"/>
    </row>
    <row r="75">
      <c r="H75">
        <f>IF(G75="","",VLOOKUP(G75,REFERENCIA!$A$1:$B$15,2,0))</f>
        <v/>
      </c>
      <c r="K75" s="3" t="n"/>
    </row>
    <row r="76">
      <c r="H76">
        <f>IF(G76="","",VLOOKUP(G76,REFERENCIA!$A$1:$B$15,2,0))</f>
        <v/>
      </c>
      <c r="K76" s="3" t="n"/>
    </row>
    <row r="77">
      <c r="H77">
        <f>IF(G77="","",VLOOKUP(G77,REFERENCIA!$A$1:$B$15,2,0))</f>
        <v/>
      </c>
      <c r="K77" s="3" t="n"/>
    </row>
    <row r="78">
      <c r="H78">
        <f>IF(G78="","",VLOOKUP(G78,REFERENCIA!$A$1:$B$15,2,0))</f>
        <v/>
      </c>
      <c r="K78" s="3" t="n"/>
    </row>
    <row r="79">
      <c r="H79">
        <f>IF(G79="","",VLOOKUP(G79,REFERENCIA!$A$1:$B$15,2,0))</f>
        <v/>
      </c>
      <c r="K79" s="3" t="n"/>
    </row>
    <row r="80">
      <c r="H80">
        <f>IF(G80="","",VLOOKUP(G80,REFERENCIA!$A$1:$B$15,2,0))</f>
        <v/>
      </c>
      <c r="K80" s="3" t="n"/>
    </row>
    <row r="81">
      <c r="H81">
        <f>IF(G81="","",VLOOKUP(G81,REFERENCIA!$A$1:$B$15,2,0))</f>
        <v/>
      </c>
      <c r="K81" s="3" t="n"/>
    </row>
    <row r="82">
      <c r="H82">
        <f>IF(G82="","",VLOOKUP(G82,REFERENCIA!$A$1:$B$15,2,0))</f>
        <v/>
      </c>
      <c r="K82" s="3" t="n"/>
    </row>
    <row r="83">
      <c r="H83">
        <f>IF(G83="","",VLOOKUP(G83,REFERENCIA!$A$1:$B$15,2,0))</f>
        <v/>
      </c>
      <c r="K83" s="3" t="n"/>
    </row>
    <row r="84">
      <c r="H84">
        <f>IF(G84="","",VLOOKUP(G84,REFERENCIA!$A$1:$B$15,2,0))</f>
        <v/>
      </c>
      <c r="K84" s="3" t="n"/>
    </row>
    <row r="85">
      <c r="H85">
        <f>IF(G85="","",VLOOKUP(G85,REFERENCIA!$A$1:$B$15,2,0))</f>
        <v/>
      </c>
      <c r="K85" s="3" t="n"/>
    </row>
    <row r="86">
      <c r="H86">
        <f>IF(G86="","",VLOOKUP(G86,REFERENCIA!$A$1:$B$15,2,0))</f>
        <v/>
      </c>
      <c r="K86" s="3" t="n"/>
    </row>
    <row r="87">
      <c r="H87">
        <f>IF(G87="","",VLOOKUP(G87,REFERENCIA!$A$1:$B$15,2,0))</f>
        <v/>
      </c>
      <c r="K87" s="3" t="n"/>
    </row>
    <row r="88">
      <c r="H88">
        <f>IF(G88="","",VLOOKUP(G88,REFERENCIA!$A$1:$B$15,2,0))</f>
        <v/>
      </c>
      <c r="K88" s="3" t="n"/>
    </row>
    <row r="89">
      <c r="H89">
        <f>IF(G89="","",VLOOKUP(G89,REFERENCIA!$A$1:$B$15,2,0))</f>
        <v/>
      </c>
      <c r="K89" s="3" t="n"/>
    </row>
    <row r="90">
      <c r="H90">
        <f>IF(G90="","",VLOOKUP(G90,REFERENCIA!$A$1:$B$15,2,0))</f>
        <v/>
      </c>
      <c r="K90" s="3" t="n"/>
    </row>
    <row r="91">
      <c r="H91">
        <f>IF(G91="","",VLOOKUP(G91,REFERENCIA!$A$1:$B$15,2,0))</f>
        <v/>
      </c>
      <c r="K91" s="3" t="n"/>
    </row>
    <row r="92">
      <c r="H92">
        <f>IF(G92="","",VLOOKUP(G92,REFERENCIA!$A$1:$B$15,2,0))</f>
        <v/>
      </c>
      <c r="K92" s="3" t="n"/>
    </row>
    <row r="93">
      <c r="H93">
        <f>IF(G93="","",VLOOKUP(G93,REFERENCIA!$A$1:$B$15,2,0))</f>
        <v/>
      </c>
      <c r="K93" s="3" t="n"/>
    </row>
    <row r="94">
      <c r="H94">
        <f>IF(G94="","",VLOOKUP(G94,REFERENCIA!$A$1:$B$15,2,0))</f>
        <v/>
      </c>
      <c r="K94" s="3" t="n"/>
    </row>
    <row r="95">
      <c r="H95">
        <f>IF(G95="","",VLOOKUP(G95,REFERENCIA!$A$1:$B$15,2,0))</f>
        <v/>
      </c>
      <c r="K95" s="3" t="n"/>
    </row>
    <row r="96">
      <c r="H96">
        <f>IF(G96="","",VLOOKUP(G96,REFERENCIA!$A$1:$B$15,2,0))</f>
        <v/>
      </c>
      <c r="K96" s="3" t="n"/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autoFilter ref="A1:K500"/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9.23046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2026-05-13T13:43:41Z</dcterms:modified>
  <cp:lastModifiedBy>Administrador</cp:lastModifiedBy>
</cp:coreProperties>
</file>