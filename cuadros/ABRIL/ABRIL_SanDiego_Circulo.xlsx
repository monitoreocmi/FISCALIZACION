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0"/>
    </font>
    <font>
      <name val="Arial Rounded MT Bold"/>
      <family val="2"/>
      <b val="1"/>
      <color theme="1"/>
      <sz val="10"/>
    </font>
    <font>
      <name val="Arial Rounded MT Bold"/>
      <family val="2"/>
      <color theme="1" tint="0.1499984740745262"/>
      <sz val="10"/>
    </font>
    <font>
      <name val="Arial Rounded MT Bold"/>
      <family val="2"/>
      <b val="1"/>
      <color rgb="FFFFFFFF"/>
      <sz val="10"/>
    </font>
    <font>
      <name val="Arial Rounded MT Bold"/>
      <family val="2"/>
      <b val="1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</borders>
  <cellStyleXfs count="2">
    <xf numFmtId="0" fontId="1" fillId="0" borderId="0"/>
    <xf numFmtId="43" fontId="1" fillId="0" borderId="0"/>
  </cellStyleXfs>
  <cellXfs count="53">
    <xf numFmtId="0" fontId="0" fillId="0" borderId="0" pivotButton="0" quotePrefix="0" xfId="0"/>
    <xf numFmtId="0" fontId="3" fillId="0" borderId="3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0" borderId="2" applyAlignment="1" pivotButton="0" quotePrefix="0" xfId="0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center" wrapText="1"/>
    </xf>
    <xf numFmtId="0" fontId="4" fillId="0" borderId="11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/>
    </xf>
    <xf numFmtId="49" fontId="4" fillId="0" borderId="4" applyAlignment="1" pivotButton="0" quotePrefix="0" xfId="1">
      <alignment horizontal="center" vertical="center" wrapText="1"/>
    </xf>
    <xf numFmtId="14" fontId="3" fillId="0" borderId="4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 wrapText="1"/>
    </xf>
    <xf numFmtId="49" fontId="4" fillId="4" borderId="1" applyAlignment="1" pivotButton="0" quotePrefix="0" xfId="1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0" fontId="4" fillId="5" borderId="12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 wrapText="1"/>
    </xf>
    <xf numFmtId="0" fontId="3" fillId="0" borderId="0" pivotButton="0" quotePrefix="0" xfId="0"/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0" borderId="14" applyAlignment="1" pivotButton="0" quotePrefix="0" xfId="0">
      <alignment horizontal="center" vertical="center" wrapText="1"/>
    </xf>
    <xf numFmtId="0" fontId="3" fillId="0" borderId="15" applyAlignment="1" pivotButton="0" quotePrefix="0" xfId="0">
      <alignment horizontal="center" vertical="center" wrapText="1"/>
    </xf>
    <xf numFmtId="0" fontId="3" fillId="0" borderId="16" applyAlignment="1" pivotButton="0" quotePrefix="0" xfId="0">
      <alignment horizontal="center" vertical="center" wrapText="1"/>
    </xf>
    <xf numFmtId="0" fontId="4" fillId="0" borderId="16" applyAlignment="1" pivotButton="0" quotePrefix="0" xfId="0">
      <alignment horizontal="center" vertical="center" wrapText="1"/>
    </xf>
    <xf numFmtId="0" fontId="4" fillId="0" borderId="17" applyAlignment="1" pivotButton="0" quotePrefix="0" xfId="0">
      <alignment horizontal="center" vertical="center" wrapText="1"/>
    </xf>
    <xf numFmtId="49" fontId="6" fillId="2" borderId="2" applyAlignment="1" pivotButton="0" quotePrefix="0" xfId="0">
      <alignment horizontal="center" vertical="center" wrapText="1"/>
    </xf>
    <xf numFmtId="49" fontId="4" fillId="0" borderId="7" applyAlignment="1" pivotButton="0" quotePrefix="0" xfId="0">
      <alignment horizontal="center" vertical="center" wrapText="1"/>
    </xf>
    <xf numFmtId="49" fontId="4" fillId="0" borderId="10" applyAlignment="1" pivotButton="0" quotePrefix="0" xfId="0">
      <alignment horizontal="center" vertical="center" wrapText="1"/>
    </xf>
    <xf numFmtId="49" fontId="4" fillId="0" borderId="13" applyAlignment="1" pivotButton="0" quotePrefix="0" xfId="0">
      <alignment horizontal="center" vertical="center" wrapText="1"/>
    </xf>
    <xf numFmtId="49" fontId="4" fillId="3" borderId="5" applyAlignment="1" pivotButton="0" quotePrefix="0" xfId="0">
      <alignment horizontal="center" vertical="center" wrapText="1"/>
    </xf>
    <xf numFmtId="49" fontId="7" fillId="5" borderId="9" applyAlignment="1" pivotButton="0" quotePrefix="0" xfId="0">
      <alignment horizontal="center" vertical="center"/>
    </xf>
    <xf numFmtId="49" fontId="2" fillId="0" borderId="0" pivotButton="0" quotePrefix="0" xfId="0"/>
    <xf numFmtId="0" fontId="4" fillId="3" borderId="3" applyAlignment="1" pivotButton="0" quotePrefix="0" xfId="0">
      <alignment horizontal="center" vertical="center" wrapText="1"/>
    </xf>
    <xf numFmtId="0" fontId="4" fillId="5" borderId="8" applyAlignment="1" pivotButton="0" quotePrefix="0" xfId="0">
      <alignment horizontal="center" vertical="center" wrapText="1"/>
    </xf>
    <xf numFmtId="49" fontId="5" fillId="0" borderId="1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</cellXfs>
  <cellStyles count="2">
    <cellStyle name="Normal" xfId="0" builtinId="0"/>
    <cellStyle name="Millares" xfId="1" builtinId="3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1"/>
  <sheetViews>
    <sheetView tabSelected="1" zoomScale="70" zoomScaleNormal="70" workbookViewId="0">
      <selection activeCell="H8" sqref="H8"/>
    </sheetView>
  </sheetViews>
  <sheetFormatPr baseColWidth="10" defaultColWidth="8.765625" defaultRowHeight="14.6"/>
  <cols>
    <col width="15" customWidth="1" min="1" max="1"/>
    <col width="23.07421875" customWidth="1" min="2" max="2"/>
    <col width="18.07421875" customWidth="1" style="9" min="3" max="3"/>
    <col width="12.53515625" customWidth="1" min="4" max="4"/>
    <col width="17.84375" customWidth="1" min="5" max="5"/>
    <col width="20" customWidth="1" min="6" max="6"/>
    <col width="35.765625" customWidth="1" min="7" max="7"/>
    <col width="9.23046875" customWidth="1" min="8" max="8"/>
    <col width="41.07421875" customWidth="1" min="9" max="9"/>
    <col width="15.84375" customWidth="1" style="9" min="10" max="10"/>
    <col width="12" customWidth="1" style="45" min="11" max="11"/>
  </cols>
  <sheetData>
    <row r="1" ht="25.3" customFormat="1" customHeight="1" s="28" thickBot="1">
      <c r="A1" s="27" t="inlineStr">
        <is>
          <t>SUCURSAL</t>
        </is>
      </c>
      <c r="B1" s="27" t="inlineStr">
        <is>
          <t>PROVEEDOR</t>
        </is>
      </c>
      <c r="C1" s="27" t="inlineStr">
        <is>
          <t>FACTURA</t>
        </is>
      </c>
      <c r="D1" s="27" t="inlineStr">
        <is>
          <t>FECHA</t>
        </is>
      </c>
      <c r="E1" s="27" t="inlineStr">
        <is>
          <t>TIPO FISCALIZACIÓN</t>
        </is>
      </c>
      <c r="F1" s="27" t="inlineStr">
        <is>
          <t>RESPONSABLE</t>
        </is>
      </c>
      <c r="G1" s="27" t="inlineStr">
        <is>
          <t>INCIDENCIA</t>
        </is>
      </c>
      <c r="H1" s="27" t="inlineStr">
        <is>
          <t>TIPO DE ERROR</t>
        </is>
      </c>
      <c r="I1" s="27" t="inlineStr">
        <is>
          <t>OBSERVACIÓN</t>
        </is>
      </c>
      <c r="J1" s="27" t="inlineStr">
        <is>
          <t>MONTO $</t>
        </is>
      </c>
      <c r="K1" s="39" t="inlineStr">
        <is>
          <t>F COBRADA</t>
        </is>
      </c>
    </row>
    <row r="2" ht="29.6" customHeight="1" thickBot="1">
      <c r="A2" s="29" t="inlineStr">
        <is>
          <t>CIRCULO MILITAR</t>
        </is>
      </c>
      <c r="B2" s="30" t="inlineStr">
        <is>
          <t>CAVA LUXOR</t>
        </is>
      </c>
      <c r="C2" s="25" t="inlineStr">
        <is>
          <t>*011701</t>
        </is>
      </c>
      <c r="D2" s="32" t="n">
        <v>46113</v>
      </c>
      <c r="E2" s="2" t="inlineStr">
        <is>
          <t>RECEPCIÓN</t>
        </is>
      </c>
      <c r="F2" s="50" t="inlineStr">
        <is>
          <t>SPCP MACKENZY RAMIREZ</t>
        </is>
      </c>
      <c r="G2" s="14" t="inlineStr">
        <is>
          <t>NÚMERO DE CONTROL O DOCUMENTO ERRÓNEO.</t>
        </is>
      </c>
      <c r="H2" s="14">
        <f>IF(G2="","",VLOOKUP(G2,REFERENCIA!$A$1:$B$14,2,0))</f>
        <v/>
      </c>
      <c r="I2" s="48" t="inlineStr">
        <is>
          <t>NÚMERO DE CONTROL CORRECTO: 300011701</t>
        </is>
      </c>
      <c r="J2" s="15" t="n"/>
      <c r="K2" s="16" t="n"/>
    </row>
    <row r="3" ht="25.3" customHeight="1" thickBot="1">
      <c r="A3" s="1" t="inlineStr">
        <is>
          <t>SAN DIEGO</t>
        </is>
      </c>
      <c r="B3" s="2" t="inlineStr">
        <is>
          <t>ECO CARNES, C.A.</t>
        </is>
      </c>
      <c r="C3" s="17" t="inlineStr">
        <is>
          <t>B000468</t>
        </is>
      </c>
      <c r="D3" s="18" t="n">
        <v>46113</v>
      </c>
      <c r="E3" s="2" t="inlineStr">
        <is>
          <t>RECEPCIÓN</t>
        </is>
      </c>
      <c r="F3" s="49" t="inlineStr">
        <is>
          <t>GERENTE JHOAN VENA</t>
        </is>
      </c>
      <c r="G3" s="20" t="inlineStr">
        <is>
          <t>DOCUMENTACIÓN ERRÓNEA</t>
        </is>
      </c>
      <c r="H3" s="20">
        <f>IF(G3="","",VLOOKUP(G3,REFERENCIA!$A$1:$B$14,2,0))</f>
        <v/>
      </c>
      <c r="I3" s="49" t="inlineStr">
        <is>
          <t>TRANSCRIBIO MAL EL NOMBRE DEL PRODUCTO EN FACTURA.</t>
        </is>
      </c>
      <c r="J3" s="52" t="n"/>
      <c r="K3" s="16" t="n"/>
    </row>
    <row r="4" ht="25.3" customHeight="1" thickBot="1">
      <c r="A4" s="29" t="inlineStr">
        <is>
          <t>CIRCULO MILITAR</t>
        </is>
      </c>
      <c r="B4" s="30" t="inlineStr">
        <is>
          <t>ECO CARNES, C.A.</t>
        </is>
      </c>
      <c r="C4" s="25" t="inlineStr">
        <is>
          <t>A012726</t>
        </is>
      </c>
      <c r="D4" s="32" t="n">
        <v>46114</v>
      </c>
      <c r="E4" s="2" t="inlineStr">
        <is>
          <t>RECEPCIÓN</t>
        </is>
      </c>
      <c r="F4" s="50" t="inlineStr">
        <is>
          <t>SPCP CESAR HERNANDEZ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50" t="inlineStr">
        <is>
          <t>FALTA LA CÉDULA DEL SPCP</t>
        </is>
      </c>
      <c r="J4" s="52" t="n"/>
      <c r="K4" s="16" t="n"/>
    </row>
    <row r="5" ht="37.75" customHeight="1" thickBot="1">
      <c r="A5" s="29" t="inlineStr">
        <is>
          <t>CIRCULO MILITAR</t>
        </is>
      </c>
      <c r="B5" s="30" t="inlineStr">
        <is>
          <t>PROCESADORA DE VEGETALES Y FRUTAS PROVEFRU, C.A.</t>
        </is>
      </c>
      <c r="C5" s="25" t="inlineStr">
        <is>
          <t>A021604</t>
        </is>
      </c>
      <c r="D5" s="32" t="n">
        <v>46114</v>
      </c>
      <c r="E5" s="2" t="inlineStr">
        <is>
          <t>RECEPCIÓN</t>
        </is>
      </c>
      <c r="F5" s="50" t="inlineStr">
        <is>
          <t>SPCP CESAR HERNANDEZ</t>
        </is>
      </c>
      <c r="G5" s="20" t="inlineStr">
        <is>
          <t>FALTA SELLO, FIRMA O CÉDULA.</t>
        </is>
      </c>
      <c r="H5" s="20">
        <f>IF(G5="","",VLOOKUP(G5,REFERENCIA!$A$1:$B$14,2,0))</f>
        <v/>
      </c>
      <c r="I5" s="50" t="inlineStr">
        <is>
          <t>FALTA LA CÉDULA DEL SPCP</t>
        </is>
      </c>
      <c r="J5" s="52" t="n"/>
      <c r="K5" s="16" t="n"/>
    </row>
    <row r="6" ht="37.75" customHeight="1" thickBot="1">
      <c r="A6" s="29" t="inlineStr">
        <is>
          <t>CIRCULO MILITAR</t>
        </is>
      </c>
      <c r="B6" s="30" t="inlineStr">
        <is>
          <t>DISTRIBUIDORA PARADIS FRESH C.A.</t>
        </is>
      </c>
      <c r="C6" s="25" t="inlineStr">
        <is>
          <t>022926</t>
        </is>
      </c>
      <c r="D6" s="32" t="n">
        <v>46114</v>
      </c>
      <c r="E6" s="2" t="inlineStr">
        <is>
          <t>RECEPCIÓN</t>
        </is>
      </c>
      <c r="F6" s="50" t="inlineStr">
        <is>
          <t>SPCP CESAR HERNANDEZ</t>
        </is>
      </c>
      <c r="G6" s="20" t="inlineStr">
        <is>
          <t>NO FISCALIZÓ UNO O VARIOS PRODUCTOS</t>
        </is>
      </c>
      <c r="H6" s="20">
        <f>IF(G6="","",VLOOKUP(G6,REFERENCIA!$A$1:$B$14,2,0))</f>
        <v/>
      </c>
      <c r="I6" s="50" t="inlineStr">
        <is>
          <t>NO FISCALIZO EL COMPUESTO CEBOLLIN/CILANTRO, 8 UNIDADES, CON UN VALOR DE 3,62$ CADA UNA</t>
        </is>
      </c>
      <c r="J6" s="51" t="n">
        <v>28.96</v>
      </c>
      <c r="K6" s="16" t="n"/>
    </row>
    <row r="7" ht="25.3" customHeight="1" thickBot="1">
      <c r="A7" s="29" t="inlineStr">
        <is>
          <t>CIRCULO MILITAR</t>
        </is>
      </c>
      <c r="B7" s="30" t="inlineStr">
        <is>
          <t>AGROPECUARIA LATIN FRUITS C.A.</t>
        </is>
      </c>
      <c r="C7" s="25" t="inlineStr">
        <is>
          <t>006046</t>
        </is>
      </c>
      <c r="D7" s="32" t="n">
        <v>46115</v>
      </c>
      <c r="E7" s="2" t="inlineStr">
        <is>
          <t>RECEPCIÓN</t>
        </is>
      </c>
      <c r="F7" s="50" t="inlineStr">
        <is>
          <t>SPCP CESAR HERNANDEZ</t>
        </is>
      </c>
      <c r="G7" s="20" t="inlineStr">
        <is>
          <t>FALTA SELLO, FIRMA O CÉDULA.</t>
        </is>
      </c>
      <c r="H7" s="20">
        <f>IF(G7="","",VLOOKUP(G7,REFERENCIA!$A$1:$B$14,2,0))</f>
        <v/>
      </c>
      <c r="I7" s="50" t="inlineStr">
        <is>
          <t>FALTA LA CÉDULA DEL SPCP</t>
        </is>
      </c>
      <c r="J7" s="52" t="n"/>
      <c r="K7" s="16" t="n"/>
    </row>
    <row r="8" ht="25.3" customHeight="1" thickBot="1">
      <c r="A8" s="29" t="inlineStr">
        <is>
          <t>CIRCULO MILITAR</t>
        </is>
      </c>
      <c r="B8" s="30" t="inlineStr">
        <is>
          <t>ECO CARNES, C.A.</t>
        </is>
      </c>
      <c r="C8" s="25" t="inlineStr">
        <is>
          <t>A012745</t>
        </is>
      </c>
      <c r="D8" s="32" t="n">
        <v>46119</v>
      </c>
      <c r="E8" s="2" t="inlineStr">
        <is>
          <t>RECEPCIÓN</t>
        </is>
      </c>
      <c r="F8" s="50" t="inlineStr">
        <is>
          <t>SPCP CRISTAL CASTRO</t>
        </is>
      </c>
      <c r="G8" s="20" t="inlineStr">
        <is>
          <t>ERROR DE KG EN TARA.</t>
        </is>
      </c>
      <c r="H8" s="20">
        <f>IF(G8="","",VLOOKUP(G8,REFERENCIA!$A$1:$B$14,2,0))</f>
        <v/>
      </c>
      <c r="I8" s="50" t="inlineStr">
        <is>
          <t>FALTO COLOCAR EL PESO DE LAS TARAS DEL TRASTE, 7 TARAS DE 2,3KG (16,1KG)</t>
        </is>
      </c>
      <c r="J8" s="22" t="n">
        <v>51.68</v>
      </c>
      <c r="K8" s="16" t="n"/>
    </row>
    <row r="9" ht="25.3" customHeight="1" thickBot="1">
      <c r="A9" s="29" t="inlineStr">
        <is>
          <t>SAN DIEGO</t>
        </is>
      </c>
      <c r="B9" s="30" t="inlineStr">
        <is>
          <t>C.P.A BEJUMA</t>
        </is>
      </c>
      <c r="C9" s="25" t="inlineStr">
        <is>
          <t>0000072203</t>
        </is>
      </c>
      <c r="D9" s="32" t="n">
        <v>46119</v>
      </c>
      <c r="E9" s="2" t="inlineStr">
        <is>
          <t>RECEPCIÓN</t>
        </is>
      </c>
      <c r="F9" s="50" t="inlineStr">
        <is>
          <t>SPCP NEYESKA DUQUE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50" t="inlineStr">
        <is>
          <t>FALTA COLOCAR EL SELLO DE TIENDA</t>
        </is>
      </c>
      <c r="J9" s="52" t="n"/>
      <c r="K9" s="16" t="n"/>
    </row>
    <row r="10" ht="29.6" customHeight="1" thickBot="1">
      <c r="A10" s="29" t="inlineStr">
        <is>
          <t>SAN DIEGO</t>
        </is>
      </c>
      <c r="B10" s="30" t="inlineStr">
        <is>
          <t>LIOLITECH 2023, C.A.</t>
        </is>
      </c>
      <c r="C10" s="23" t="inlineStr">
        <is>
          <t>0000733</t>
        </is>
      </c>
      <c r="D10" s="32" t="n">
        <v>46119</v>
      </c>
      <c r="E10" s="2" t="inlineStr">
        <is>
          <t>RECEPCIÓN</t>
        </is>
      </c>
      <c r="F10" s="30" t="inlineStr">
        <is>
          <t>SUB GERENTE CARLOS ALMENAR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30" t="inlineStr">
        <is>
          <t>NÚMERO DE FACTURA CORRECTO: 00000733</t>
        </is>
      </c>
      <c r="J10" s="52" t="n"/>
      <c r="K10" s="16" t="n"/>
    </row>
    <row r="11" ht="29.6" customHeight="1" thickBot="1">
      <c r="A11" s="29" t="inlineStr">
        <is>
          <t>CIRCULO MILITAR</t>
        </is>
      </c>
      <c r="B11" s="30" t="inlineStr">
        <is>
          <t>ALMEN GROUP, C.A.</t>
        </is>
      </c>
      <c r="C11" s="23" t="inlineStr">
        <is>
          <t>0166</t>
        </is>
      </c>
      <c r="D11" s="32" t="n">
        <v>46119</v>
      </c>
      <c r="E11" s="2" t="inlineStr">
        <is>
          <t>RECEPCIÓN</t>
        </is>
      </c>
      <c r="F11" s="50" t="inlineStr">
        <is>
          <t>SPCP CRISTAL CASTRO</t>
        </is>
      </c>
      <c r="G11" s="20" t="inlineStr">
        <is>
          <t>NÚMERO DE CONTROL O DOCUMENTO ERRÓNEO.</t>
        </is>
      </c>
      <c r="H11" s="20">
        <f>IF(G11="","",VLOOKUP(G11,REFERENCIA!$A$1:$B$14,2,0))</f>
        <v/>
      </c>
      <c r="I11" s="30" t="inlineStr">
        <is>
          <t>NÚMERO DE CONTROL CORRECTO: 00000166</t>
        </is>
      </c>
      <c r="J11" s="52" t="n"/>
      <c r="K11" s="16" t="n"/>
    </row>
    <row r="12" ht="25.3" customHeight="1" thickBot="1">
      <c r="A12" s="29" t="inlineStr">
        <is>
          <t>SAN DIEGO</t>
        </is>
      </c>
      <c r="B12" s="30" t="inlineStr">
        <is>
          <t>C.P.A BEJUMA</t>
        </is>
      </c>
      <c r="C12" s="23" t="inlineStr">
        <is>
          <t>0000072202</t>
        </is>
      </c>
      <c r="D12" s="32" t="n">
        <v>46119</v>
      </c>
      <c r="E12" s="2" t="inlineStr">
        <is>
          <t>RECEPCIÓN</t>
        </is>
      </c>
      <c r="F12" s="50" t="inlineStr">
        <is>
          <t>SPCP NEYESKA DUQUE</t>
        </is>
      </c>
      <c r="G12" s="20" t="inlineStr">
        <is>
          <t>FALTA SELLO, FIRMA O CÉDULA.</t>
        </is>
      </c>
      <c r="H12" s="20">
        <f>IF(G12="","",VLOOKUP(G12,REFERENCIA!$A$1:$B$14,2,0))</f>
        <v/>
      </c>
      <c r="I12" s="30" t="inlineStr">
        <is>
          <t>FALTA COLOCAR EL SELLO DE TIENDA</t>
        </is>
      </c>
      <c r="J12" s="52" t="n"/>
      <c r="K12" s="16" t="n"/>
    </row>
    <row r="13" ht="29.6" customHeight="1" thickBot="1">
      <c r="A13" s="29" t="inlineStr">
        <is>
          <t>CIRCULO MILITAR</t>
        </is>
      </c>
      <c r="B13" s="30" t="inlineStr">
        <is>
          <t>HIDROPONIAS VENEZOLANAS, C.A.</t>
        </is>
      </c>
      <c r="C13" s="23" t="inlineStr">
        <is>
          <t>20109432</t>
        </is>
      </c>
      <c r="D13" s="32" t="n">
        <v>46120</v>
      </c>
      <c r="E13" s="2" t="inlineStr">
        <is>
          <t>RECEPCIÓN</t>
        </is>
      </c>
      <c r="F13" s="30" t="inlineStr">
        <is>
          <t>SPCP DANIHEL PALACIOS</t>
        </is>
      </c>
      <c r="G13" s="20" t="inlineStr">
        <is>
          <t>NO FISCALIZÓ UNO O VARIOS PRODUCTOS</t>
        </is>
      </c>
      <c r="H13" s="20">
        <f>IF(G13="","",VLOOKUP(G13,REFERENCIA!$A$1:$B$14,2,0))</f>
        <v/>
      </c>
      <c r="I13" s="30" t="inlineStr">
        <is>
          <t>NO FISCALIZO EL "GRANO CHINO", 10 UNIDADES</t>
        </is>
      </c>
      <c r="J13" s="52" t="n">
        <v>23.7</v>
      </c>
      <c r="K13" s="16" t="n"/>
    </row>
    <row r="14" ht="29.6" customHeight="1" thickBot="1">
      <c r="A14" s="29" t="inlineStr">
        <is>
          <t>CIRCULO MILITAR</t>
        </is>
      </c>
      <c r="B14" s="30" t="inlineStr">
        <is>
          <t>HIDROPONIAS VENEZOLANAS, C.A.</t>
        </is>
      </c>
      <c r="C14" s="23" t="inlineStr">
        <is>
          <t>20109433</t>
        </is>
      </c>
      <c r="D14" s="32" t="n">
        <v>46120</v>
      </c>
      <c r="E14" s="2" t="inlineStr">
        <is>
          <t>RECEPCIÓN</t>
        </is>
      </c>
      <c r="F14" s="30" t="inlineStr">
        <is>
          <t>SPCP DANIHEL PALACIOS</t>
        </is>
      </c>
      <c r="G14" s="20" t="inlineStr">
        <is>
          <t>NO FISCALIZÓ UNO O VARIOS PRODUCTOS</t>
        </is>
      </c>
      <c r="H14" s="20">
        <f>IF(G14="","",VLOOKUP(G14,REFERENCIA!$A$1:$B$14,2,0))</f>
        <v/>
      </c>
      <c r="I14" s="30" t="inlineStr">
        <is>
          <t>NO FISCALIZO LA "ENSALADA MIXTA C/CHERRY", 8 UNIDADES</t>
        </is>
      </c>
      <c r="J14" s="52" t="n">
        <v>34.24</v>
      </c>
      <c r="K14" s="16" t="n"/>
    </row>
    <row r="15" ht="29.6" customHeight="1" thickBot="1">
      <c r="A15" s="29" t="inlineStr">
        <is>
          <t>SAN DIEGO</t>
        </is>
      </c>
      <c r="B15" s="30" t="inlineStr">
        <is>
          <t>YEFFERSON MAY MORGADO CHACON</t>
        </is>
      </c>
      <c r="C15" s="25" t="inlineStr">
        <is>
          <t>125164</t>
        </is>
      </c>
      <c r="D15" s="32" t="n">
        <v>46120</v>
      </c>
      <c r="E15" s="2" t="inlineStr">
        <is>
          <t>RECEPCIÓN</t>
        </is>
      </c>
      <c r="F15" s="50" t="inlineStr">
        <is>
          <t>SUB GERENTE CARLOS ALMENAR</t>
        </is>
      </c>
      <c r="G15" s="20" t="inlineStr">
        <is>
          <t>NÚMERO DE CONTROL O DOCUMENTO ERRÓNEO.</t>
        </is>
      </c>
      <c r="H15" s="20">
        <f>IF(G15="","",VLOOKUP(G15,REFERENCIA!$A$1:$B$14,2,0))</f>
        <v/>
      </c>
      <c r="I15" s="30" t="inlineStr">
        <is>
          <t>NÚMERO DE CONTROL CORRECTO: 000113164</t>
        </is>
      </c>
      <c r="J15" s="52" t="n"/>
      <c r="K15" s="16" t="n"/>
    </row>
    <row r="16" ht="25.3" customHeight="1" thickBot="1">
      <c r="A16" s="29" t="inlineStr">
        <is>
          <t>SAN DIEGO</t>
        </is>
      </c>
      <c r="B16" s="30" t="inlineStr">
        <is>
          <t>AGROPECUARIA PUNTA LARGA, C.A.</t>
        </is>
      </c>
      <c r="C16" s="25" t="inlineStr">
        <is>
          <t>R002987</t>
        </is>
      </c>
      <c r="D16" s="32" t="n">
        <v>46120</v>
      </c>
      <c r="E16" s="2" t="inlineStr">
        <is>
          <t>RECEPCIÓN</t>
        </is>
      </c>
      <c r="F16" s="50" t="inlineStr">
        <is>
          <t>SUB GERENTE KAREN CABRERA</t>
        </is>
      </c>
      <c r="G16" s="20" t="inlineStr">
        <is>
          <t>DOCUMENTACIÓN ERRÓNEA</t>
        </is>
      </c>
      <c r="H16" s="20">
        <f>IF(G16="","",VLOOKUP(G16,REFERENCIA!$A$1:$B$14,2,0))</f>
        <v/>
      </c>
      <c r="I16" s="30" t="inlineStr">
        <is>
          <t>LA IMAGEN DEL DORSO CARGADA NO PERTENECE A ESTA RECEPCIÓN</t>
        </is>
      </c>
      <c r="J16" s="52" t="n"/>
      <c r="K16" s="16" t="n"/>
    </row>
    <row r="17" ht="29.6" customHeight="1" thickBot="1">
      <c r="A17" s="29" t="inlineStr">
        <is>
          <t>CIRCULO MILITAR</t>
        </is>
      </c>
      <c r="B17" s="30" t="inlineStr">
        <is>
          <t>EL TUNAL, C.A.</t>
        </is>
      </c>
      <c r="C17" s="25" t="inlineStr">
        <is>
          <t>0116589</t>
        </is>
      </c>
      <c r="D17" s="32" t="n">
        <v>46120</v>
      </c>
      <c r="E17" s="2" t="inlineStr">
        <is>
          <t>RECEPCIÓN</t>
        </is>
      </c>
      <c r="F17" s="50" t="inlineStr">
        <is>
          <t>SPCP DANIHEL PALACIOS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30" t="inlineStr">
        <is>
          <t>NO FISCALIZO LOS "HUEVOS ESTUCHADO EL TUNAL 15UND CAJA 20", 15 CAJAS</t>
        </is>
      </c>
      <c r="J17" s="52" t="n">
        <v>1185</v>
      </c>
      <c r="K17" s="16" t="n"/>
    </row>
    <row r="18" ht="37.75" customHeight="1" thickBot="1">
      <c r="A18" s="29" t="inlineStr">
        <is>
          <t>CIRCULO MILITAR</t>
        </is>
      </c>
      <c r="B18" s="30" t="inlineStr">
        <is>
          <t>PROCESADORA DE VEGETALES Y FRUTAS PROVEFRU, C.A.</t>
        </is>
      </c>
      <c r="C18" s="25" t="inlineStr">
        <is>
          <t>A021639</t>
        </is>
      </c>
      <c r="D18" s="32" t="n">
        <v>46121</v>
      </c>
      <c r="E18" s="2" t="inlineStr">
        <is>
          <t>RECEPCIÓN</t>
        </is>
      </c>
      <c r="F18" s="50" t="inlineStr">
        <is>
          <t>SPCP DANIHEL PALACIOS</t>
        </is>
      </c>
      <c r="G18" s="20" t="inlineStr">
        <is>
          <t>PRODUCTO O SKU DUPLICADO.</t>
        </is>
      </c>
      <c r="H18" s="20">
        <f>IF(G18="","",VLOOKUP(G18,REFERENCIA!$A$1:$B$14,2,0))</f>
        <v/>
      </c>
      <c r="I18" s="30" t="inlineStr">
        <is>
          <t>SKU DE LA ESPINACA DUPLICADO</t>
        </is>
      </c>
      <c r="J18" s="52" t="n"/>
      <c r="K18" s="16" t="n"/>
    </row>
    <row r="19" ht="37.75" customHeight="1" thickBot="1">
      <c r="A19" s="29" t="inlineStr">
        <is>
          <t>CIRCULO MILITAR</t>
        </is>
      </c>
      <c r="B19" s="30" t="inlineStr">
        <is>
          <t>PROCESADORA DE VEGETALES Y FRUTAS PROVEFRU, C.A.</t>
        </is>
      </c>
      <c r="C19" s="25" t="inlineStr">
        <is>
          <t>A021639</t>
        </is>
      </c>
      <c r="D19" s="32" t="n">
        <v>46121</v>
      </c>
      <c r="E19" s="2" t="inlineStr">
        <is>
          <t>RECEPCIÓN</t>
        </is>
      </c>
      <c r="F19" s="50" t="inlineStr">
        <is>
          <t>SPCP DANIHEL PALACIOS</t>
        </is>
      </c>
      <c r="G19" s="20" t="inlineStr">
        <is>
          <t>NO FISCALIZÓ UNO O VARIOS PRODUCTOS</t>
        </is>
      </c>
      <c r="H19" s="20">
        <f>IF(G19="","",VLOOKUP(G19,REFERENCIA!$A$1:$B$14,2,0))</f>
        <v/>
      </c>
      <c r="I19" s="30" t="inlineStr">
        <is>
          <t>NO FISCALIZO EL "CEBOLLIN DE 120GR", 5 UNIDADES</t>
        </is>
      </c>
      <c r="J19" s="52" t="n">
        <v>8.85</v>
      </c>
      <c r="K19" s="16" t="n"/>
    </row>
    <row r="20" ht="25.3" customHeight="1" thickBot="1">
      <c r="A20" s="29" t="inlineStr">
        <is>
          <t>CIRCULO MILITAR</t>
        </is>
      </c>
      <c r="B20" s="30" t="inlineStr">
        <is>
          <t>FRUMIX,C.A.</t>
        </is>
      </c>
      <c r="C20" s="25" t="inlineStr">
        <is>
          <t>00009342</t>
        </is>
      </c>
      <c r="D20" s="32" t="n">
        <v>46121</v>
      </c>
      <c r="E20" s="2" t="inlineStr">
        <is>
          <t>RECEPCIÓN</t>
        </is>
      </c>
      <c r="F20" s="50" t="inlineStr">
        <is>
          <t>SPCP DANIHEL PALACIOS</t>
        </is>
      </c>
      <c r="G20" s="20" t="inlineStr">
        <is>
          <t>PRODUCTO O SKU DUPLICADO.</t>
        </is>
      </c>
      <c r="H20" s="20">
        <f>IF(G20="","",VLOOKUP(G20,REFERENCIA!$A$1:$B$14,2,0))</f>
        <v/>
      </c>
      <c r="I20" s="30" t="inlineStr">
        <is>
          <t>SKU DE LA MANZANA PINK LADY, MANZANA ROJA Y LA UVA ROJA DUPLICADO</t>
        </is>
      </c>
      <c r="J20" s="52" t="n"/>
      <c r="K20" s="16" t="n"/>
    </row>
    <row r="21" ht="29.6" customHeight="1" thickBot="1">
      <c r="A21" s="29" t="inlineStr">
        <is>
          <t>CIRCULO MILITAR</t>
        </is>
      </c>
      <c r="B21" s="30" t="inlineStr">
        <is>
          <t>FRUMIX,C.A.</t>
        </is>
      </c>
      <c r="C21" s="25" t="inlineStr">
        <is>
          <t>00009342</t>
        </is>
      </c>
      <c r="D21" s="32" t="n">
        <v>46121</v>
      </c>
      <c r="E21" s="2" t="inlineStr">
        <is>
          <t>RECEPCIÓN</t>
        </is>
      </c>
      <c r="F21" s="50" t="inlineStr">
        <is>
          <t>SPCP DANIHEL PALACIOS</t>
        </is>
      </c>
      <c r="G21" s="20" t="inlineStr">
        <is>
          <t>DIFERENCIA ENTRE CANTIDAD FISCALIZADA Y DOCUMENTO.</t>
        </is>
      </c>
      <c r="H21" s="20">
        <f>IF(G21="","",VLOOKUP(G21,REFERENCIA!$A$1:$B$14,2,0))</f>
        <v/>
      </c>
      <c r="I21" s="30" t="inlineStr">
        <is>
          <t>ERROR EN CODIGO DE PRODUCTO COLOCADO EN NOTA</t>
        </is>
      </c>
      <c r="J21" s="52" t="n"/>
      <c r="K21" s="16" t="n"/>
    </row>
    <row r="22" ht="75" customHeight="1" thickBot="1">
      <c r="A22" s="29" t="inlineStr">
        <is>
          <t>CIRCULO MILITAR</t>
        </is>
      </c>
      <c r="B22" s="30" t="inlineStr">
        <is>
          <t>FRUMIX,C.A.</t>
        </is>
      </c>
      <c r="C22" s="25" t="inlineStr">
        <is>
          <t>00009342</t>
        </is>
      </c>
      <c r="D22" s="32" t="n">
        <v>46121</v>
      </c>
      <c r="E22" s="2" t="inlineStr">
        <is>
          <t>RECEPCIÓN</t>
        </is>
      </c>
      <c r="F22" s="50" t="inlineStr">
        <is>
          <t>SPCP DANIHEL PALACIOS</t>
        </is>
      </c>
      <c r="G22" s="20" t="inlineStr">
        <is>
          <t>NO FISCALIZÓ UNO O VARIOS PRODUCTOS</t>
        </is>
      </c>
      <c r="H22" s="20">
        <f>IF(G22="","",VLOOKUP(G22,REFERENCIA!$A$1:$B$14,2,0))</f>
        <v/>
      </c>
      <c r="I22" s="30" t="inlineStr">
        <is>
          <t>LA RECEPCIÓN SE HABIA DOCUMENTADO FALTANDO AGREGAR LOS SIGUIENTES PRODUCTOS: GRANADA IMPORTADA (11,5KG) 264,6$, MANZANA PINK LADY (103,2KG) 695,6$ Y MANZANA RED (124,4KG) 888,2$</t>
        </is>
      </c>
      <c r="J22" s="52" t="n">
        <v>1848.4</v>
      </c>
      <c r="K22" s="16" t="n"/>
    </row>
    <row r="23" ht="29.6" customHeight="1" thickBot="1">
      <c r="A23" s="29" t="inlineStr">
        <is>
          <t>CIRCULO MILITAR</t>
        </is>
      </c>
      <c r="B23" s="30" t="inlineStr">
        <is>
          <t>MUSACEUM C.A.</t>
        </is>
      </c>
      <c r="C23" s="25" t="inlineStr">
        <is>
          <t>003796</t>
        </is>
      </c>
      <c r="D23" s="32" t="n">
        <v>46121</v>
      </c>
      <c r="E23" s="2" t="inlineStr">
        <is>
          <t>RECEPCIÓN</t>
        </is>
      </c>
      <c r="F23" s="50" t="inlineStr">
        <is>
          <t>SPCP DANIHEL PALACIOS</t>
        </is>
      </c>
      <c r="G23" s="20" t="inlineStr">
        <is>
          <t>NÚMERO DE CONTROL O DOCUMENTO ERRÓNEO.</t>
        </is>
      </c>
      <c r="H23" s="20">
        <f>IF(G23="","",VLOOKUP(G23,REFERENCIA!$A$1:$B$14,2,0))</f>
        <v/>
      </c>
      <c r="I23" s="30" t="inlineStr">
        <is>
          <t>NÚMERO DE CONTROL CORRECTO: 0000004529</t>
        </is>
      </c>
      <c r="J23" s="52" t="n"/>
      <c r="K23" s="16" t="n"/>
    </row>
    <row r="24" ht="29.6" customHeight="1" thickBot="1">
      <c r="A24" s="29" t="inlineStr">
        <is>
          <t>SAN DIEGO</t>
        </is>
      </c>
      <c r="B24" s="30" t="inlineStr">
        <is>
          <t>RUBROS SANARE C2, C.A.</t>
        </is>
      </c>
      <c r="C24" s="25" t="inlineStr">
        <is>
          <t>0002310</t>
        </is>
      </c>
      <c r="D24" s="32" t="n">
        <v>46121</v>
      </c>
      <c r="E24" s="2" t="inlineStr">
        <is>
          <t>RECEPCIÓN</t>
        </is>
      </c>
      <c r="F24" s="50" t="inlineStr">
        <is>
          <t>SPCP NELSON DE FREITAS</t>
        </is>
      </c>
      <c r="G24" s="20" t="inlineStr">
        <is>
          <t>NO FISCALIZÓ UNO O VARIOS PRODUCTOS</t>
        </is>
      </c>
      <c r="H24" s="20">
        <f>IF(G24="","",VLOOKUP(G24,REFERENCIA!$A$1:$B$14,2,0))</f>
        <v/>
      </c>
      <c r="I24" s="30" t="inlineStr">
        <is>
          <t>NO FISCALIZO EL ÚLTIMO PESAJE DE PIMENTON, 119,8KG</t>
        </is>
      </c>
      <c r="J24" s="52" t="n">
        <v>803.9</v>
      </c>
      <c r="K24" s="16" t="n"/>
    </row>
    <row r="25" ht="29.6" customHeight="1" thickBot="1">
      <c r="A25" s="29" t="inlineStr">
        <is>
          <t>SAN DIEGO</t>
        </is>
      </c>
      <c r="B25" s="30" t="inlineStr">
        <is>
          <t>PRODUCTOS ALIMEX C.A</t>
        </is>
      </c>
      <c r="C25" s="25" t="inlineStr">
        <is>
          <t>0038156</t>
        </is>
      </c>
      <c r="D25" s="32" t="n">
        <v>46121</v>
      </c>
      <c r="E25" s="2" t="inlineStr">
        <is>
          <t>RECEPCIÓN</t>
        </is>
      </c>
      <c r="F25" s="50" t="inlineStr">
        <is>
          <t>SUB GERENTE YELITXA ANGULO</t>
        </is>
      </c>
      <c r="G25" s="20" t="inlineStr">
        <is>
          <t>NÚMERO DE CONTROL O DOCUMENTO ERRÓNEO.</t>
        </is>
      </c>
      <c r="H25" s="20">
        <f>IF(G25="","",VLOOKUP(G25,REFERENCIA!$A$1:$B$14,2,0))</f>
        <v/>
      </c>
      <c r="I25" s="30" t="inlineStr">
        <is>
          <t>NÚMERO DE CONTROL CORRECTO: 0039156</t>
        </is>
      </c>
      <c r="J25" s="52" t="n"/>
      <c r="K25" s="16" t="n"/>
    </row>
    <row r="26" ht="37.75" customHeight="1" thickBot="1">
      <c r="A26" s="29" t="inlineStr">
        <is>
          <t>CIRCULO MILITAR</t>
        </is>
      </c>
      <c r="B26" s="30" t="inlineStr">
        <is>
          <t>CAVA LUXOR</t>
        </is>
      </c>
      <c r="C26" s="25" t="inlineStr">
        <is>
          <t>*4853</t>
        </is>
      </c>
      <c r="D26" s="32" t="n">
        <v>46122</v>
      </c>
      <c r="E26" s="2" t="inlineStr">
        <is>
          <t>RECEPCIÓN</t>
        </is>
      </c>
      <c r="F26" s="50" t="inlineStr">
        <is>
          <t>SPCP CRISTAL CASTRO</t>
        </is>
      </c>
      <c r="G26" s="20" t="inlineStr">
        <is>
          <t>ERROR DE KG EN TARA.</t>
        </is>
      </c>
      <c r="H26" s="20">
        <f>IF(G26="","",VLOOKUP(G26,REFERENCIA!$A$1:$B$14,2,0))</f>
        <v/>
      </c>
      <c r="I26" s="30" t="inlineStr">
        <is>
          <t xml:space="preserve">FALTO AGREGAR EL PESO DE LAS TARAS DEL QUESO GUAYANES, 25 TARAS DE 1KG (25KG) </t>
        </is>
      </c>
      <c r="J26" s="22" t="n">
        <v>185.75</v>
      </c>
      <c r="K26" s="16" t="n"/>
    </row>
    <row r="27" ht="29.6" customHeight="1" thickBot="1">
      <c r="A27" s="29" t="inlineStr">
        <is>
          <t>SAN DIEGO</t>
        </is>
      </c>
      <c r="B27" s="30" t="inlineStr">
        <is>
          <t>AGROPECUARIA LATIN FRUITS C.A.</t>
        </is>
      </c>
      <c r="C27" s="25" t="inlineStr">
        <is>
          <t>006136</t>
        </is>
      </c>
      <c r="D27" s="32" t="n">
        <v>46122</v>
      </c>
      <c r="E27" s="2" t="inlineStr">
        <is>
          <t>RECEPCIÓN</t>
        </is>
      </c>
      <c r="F27" s="50" t="inlineStr">
        <is>
          <t>SUB GERENTE CARLOS ALMENAR</t>
        </is>
      </c>
      <c r="G27" s="20" t="inlineStr">
        <is>
          <t>NÚMERO DE CONTROL O DOCUMENTO ERRÓNEO.</t>
        </is>
      </c>
      <c r="H27" s="20">
        <f>IF(G27="","",VLOOKUP(G27,REFERENCIA!$A$1:$B$14,2,0))</f>
        <v/>
      </c>
      <c r="I27" s="30" t="inlineStr">
        <is>
          <t>NÚMERO DE CONTROL CORRECTO: 0000009566</t>
        </is>
      </c>
      <c r="J27" s="52" t="n"/>
      <c r="K27" s="16" t="n"/>
    </row>
    <row r="28" ht="29.6" customHeight="1" thickBot="1">
      <c r="A28" s="29" t="inlineStr">
        <is>
          <t>CIRCULO MILITAR</t>
        </is>
      </c>
      <c r="B28" s="30" t="inlineStr">
        <is>
          <t>MUSACEUM C.A.</t>
        </is>
      </c>
      <c r="C28" s="25" t="inlineStr">
        <is>
          <t>003840</t>
        </is>
      </c>
      <c r="D28" s="32" t="n">
        <v>46123</v>
      </c>
      <c r="E28" s="2" t="inlineStr">
        <is>
          <t>RECEPCIÓN</t>
        </is>
      </c>
      <c r="F28" s="50" t="inlineStr">
        <is>
          <t>SPCP JESUS PACHECO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30" t="inlineStr">
        <is>
          <t>NÚMERO DE CONTROL CORRECTO: 0000004584</t>
        </is>
      </c>
      <c r="J28" s="52" t="n"/>
      <c r="K28" s="16" t="n"/>
    </row>
    <row r="29" ht="37.75" customHeight="1" thickBot="1">
      <c r="A29" s="29" t="inlineStr">
        <is>
          <t>CIRCULO MILITAR</t>
        </is>
      </c>
      <c r="B29" s="30" t="inlineStr">
        <is>
          <t>PROCESADORA DE VEGETALES Y FRUTAS PROVEFRU, C.A.</t>
        </is>
      </c>
      <c r="C29" s="25" t="inlineStr">
        <is>
          <t>A021660</t>
        </is>
      </c>
      <c r="D29" s="32" t="n">
        <v>46125</v>
      </c>
      <c r="E29" s="2" t="inlineStr">
        <is>
          <t>RECEPCIÓN</t>
        </is>
      </c>
      <c r="F29" s="50" t="inlineStr">
        <is>
          <t>SPCP MACKENZY RAMIREZ</t>
        </is>
      </c>
      <c r="G29" s="20" t="inlineStr">
        <is>
          <t>NO FISCALIZÓ UNO O VARIOS PRODUCTOS</t>
        </is>
      </c>
      <c r="H29" s="20">
        <f>IF(G29="","",VLOOKUP(G29,REFERENCIA!$A$1:$B$14,2,0))</f>
        <v/>
      </c>
      <c r="I29" s="50" t="inlineStr">
        <is>
          <t>NO FISCALIZO LA "ALBAHACA DE 60GR" 5 UNIDADES, VALOR TOTAL 8,85$</t>
        </is>
      </c>
      <c r="J29" s="52" t="n">
        <v>8.85</v>
      </c>
      <c r="K29" s="16" t="n"/>
    </row>
    <row r="30" ht="37.75" customHeight="1" thickBot="1">
      <c r="A30" s="29" t="inlineStr">
        <is>
          <t>SAN DIEGO</t>
        </is>
      </c>
      <c r="B30" s="30" t="inlineStr">
        <is>
          <t>SUPLIDORA EL VIGIA, COMPAÑIA ANONIMA(SUVICA)</t>
        </is>
      </c>
      <c r="C30" s="25" t="inlineStr">
        <is>
          <t>006007</t>
        </is>
      </c>
      <c r="D30" s="32" t="n">
        <v>46125</v>
      </c>
      <c r="E30" s="2" t="inlineStr">
        <is>
          <t>RECEPCIÓN</t>
        </is>
      </c>
      <c r="F30" s="50" t="inlineStr">
        <is>
          <t>SPCP IRENE AULAR</t>
        </is>
      </c>
      <c r="G30" s="20" t="inlineStr">
        <is>
          <t>NÚMERO DE CONTROL O DOCUMENTO ERRÓNEO.</t>
        </is>
      </c>
      <c r="H30" s="20">
        <f>IF(G30="","",VLOOKUP(G30,REFERENCIA!$A$1:$B$14,2,0))</f>
        <v/>
      </c>
      <c r="I30" s="30" t="inlineStr">
        <is>
          <t>NÚMERO DE CONTROL CORRECTO: 00056507</t>
        </is>
      </c>
      <c r="J30" s="52" t="n"/>
      <c r="K30" s="16" t="n"/>
    </row>
    <row r="31" ht="25.3" customHeight="1" thickBot="1">
      <c r="A31" s="29" t="inlineStr">
        <is>
          <t>SAN DIEGO</t>
        </is>
      </c>
      <c r="B31" s="30" t="inlineStr">
        <is>
          <t>YEFFERSON MAY MORGADO CHACON</t>
        </is>
      </c>
      <c r="C31" s="25" t="inlineStr">
        <is>
          <t>125255</t>
        </is>
      </c>
      <c r="D31" s="32" t="n">
        <v>46125</v>
      </c>
      <c r="E31" s="2" t="inlineStr">
        <is>
          <t>RECEPCIÓN</t>
        </is>
      </c>
      <c r="F31" s="50" t="inlineStr">
        <is>
          <t>SUB GERENTE CARLOS ALMENAR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30" t="inlineStr">
        <is>
          <t>FALTA LA FIRMA DEL SPCP, EL SELLO DE LA TIENDA Y LA CÉDULA DEL SPCP</t>
        </is>
      </c>
      <c r="J31" s="52" t="n"/>
      <c r="K31" s="16" t="n"/>
    </row>
    <row r="32" ht="29.6" customHeight="1" thickBot="1">
      <c r="A32" s="29" t="inlineStr">
        <is>
          <t>CIRCULO MILITAR</t>
        </is>
      </c>
      <c r="B32" s="30" t="inlineStr">
        <is>
          <t>LA CARIDAD C.A.</t>
        </is>
      </c>
      <c r="C32" s="24" t="inlineStr">
        <is>
          <t>E40920</t>
        </is>
      </c>
      <c r="D32" s="32" t="n">
        <v>46126</v>
      </c>
      <c r="E32" s="2" t="inlineStr">
        <is>
          <t>RECEPCIÓN</t>
        </is>
      </c>
      <c r="F32" s="50" t="inlineStr">
        <is>
          <t>SPCP CESAR HERNANDEZ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30" t="inlineStr">
        <is>
          <t>NÚMERO DE CONTROL CORRECTO: 00468282</t>
        </is>
      </c>
      <c r="J32" s="52" t="n"/>
      <c r="K32" s="16" t="n"/>
    </row>
    <row r="33" ht="37.75" customHeight="1" thickBot="1">
      <c r="A33" s="29" t="inlineStr">
        <is>
          <t>CIRCULO MILITAR</t>
        </is>
      </c>
      <c r="B33" s="30" t="inlineStr">
        <is>
          <t>PEPSI COLA VENEZUELA, C.A./S.T.C POLAR C.A</t>
        </is>
      </c>
      <c r="C33" s="25" t="inlineStr">
        <is>
          <t>201245738</t>
        </is>
      </c>
      <c r="D33" s="32" t="n">
        <v>46126</v>
      </c>
      <c r="E33" s="2" t="inlineStr">
        <is>
          <t>RECEPCIÓN</t>
        </is>
      </c>
      <c r="F33" s="50" t="inlineStr">
        <is>
          <t>SPCP MACKENZY RAMIREZ</t>
        </is>
      </c>
      <c r="G33" s="20" t="inlineStr">
        <is>
          <t>DOCUMENTACIÓN ERRÓNEA</t>
        </is>
      </c>
      <c r="H33" s="20">
        <f>IF(G33="","",VLOOKUP(G33,REFERENCIA!$A$1:$B$14,2,0))</f>
        <v/>
      </c>
      <c r="I33" s="50" t="inlineStr">
        <is>
          <t>FALTO CARGAR IMAGEN DEL DORSO</t>
        </is>
      </c>
      <c r="J33" s="52" t="n"/>
      <c r="K33" s="16" t="n"/>
    </row>
    <row r="34" ht="29.6" customHeight="1" thickBot="1">
      <c r="A34" s="29" t="inlineStr">
        <is>
          <t>CIRCULO MILITAR</t>
        </is>
      </c>
      <c r="B34" s="30" t="inlineStr">
        <is>
          <t>ALIMENTOS POLAR COMERCIAL C.A.</t>
        </is>
      </c>
      <c r="C34" s="25" t="inlineStr">
        <is>
          <t>7242078136</t>
        </is>
      </c>
      <c r="D34" s="32" t="n">
        <v>46126</v>
      </c>
      <c r="E34" s="2" t="inlineStr">
        <is>
          <t>RECEPCIÓN</t>
        </is>
      </c>
      <c r="F34" s="50" t="inlineStr">
        <is>
          <t>SPCP MACKENZY RAMIREZ</t>
        </is>
      </c>
      <c r="G34" s="20" t="inlineStr">
        <is>
          <t>PRODUCTO O SKU NO PERTENECE A LA RECEPCIÓN.</t>
        </is>
      </c>
      <c r="H34" s="20">
        <f>IF(G34="","",VLOOKUP(G34,REFERENCIA!$A$1:$B$14,2,0))</f>
        <v/>
      </c>
      <c r="I34" s="30" t="inlineStr">
        <is>
          <t>EL "VINAGRE BLANCO DE 1L" NO PERTENECE A ESTA RECEPCIÓN</t>
        </is>
      </c>
      <c r="J34" s="52" t="n"/>
      <c r="K34" s="16" t="n"/>
    </row>
    <row r="35" ht="29.6" customHeight="1" thickBot="1">
      <c r="A35" s="29" t="inlineStr">
        <is>
          <t>SAN DIEGO</t>
        </is>
      </c>
      <c r="B35" s="30" t="inlineStr">
        <is>
          <t>DISTRIBUIDORA GADUCA C.A</t>
        </is>
      </c>
      <c r="C35" s="25" t="inlineStr">
        <is>
          <t>00117243</t>
        </is>
      </c>
      <c r="D35" s="32" t="n">
        <v>46127</v>
      </c>
      <c r="E35" s="2" t="inlineStr">
        <is>
          <t>RECEPCIÓN</t>
        </is>
      </c>
      <c r="F35" s="50" t="inlineStr">
        <is>
          <t>SUB GERENTE YELITXA ANGULO</t>
        </is>
      </c>
      <c r="G35" s="20" t="inlineStr">
        <is>
          <t>NÚMERO DE CONTROL O DOCUMENTO ERRÓNEO.</t>
        </is>
      </c>
      <c r="H35" s="20">
        <f>IF(G35="","",VLOOKUP(G35,REFERENCIA!$A$1:$B$14,2,0))</f>
        <v/>
      </c>
      <c r="I35" s="50" t="inlineStr">
        <is>
          <t>NÚMERO DE FACTURA CORRECTO: D000117243</t>
        </is>
      </c>
      <c r="J35" s="52" t="n"/>
      <c r="K35" s="16" t="n"/>
    </row>
    <row r="36" ht="29.6" customHeight="1" thickBot="1">
      <c r="A36" s="29" t="inlineStr">
        <is>
          <t>CIRCULO MILITAR</t>
        </is>
      </c>
      <c r="B36" s="30" t="inlineStr">
        <is>
          <t>CAVA LUXOR</t>
        </is>
      </c>
      <c r="C36" s="25" t="inlineStr">
        <is>
          <t>*013052</t>
        </is>
      </c>
      <c r="D36" s="32" t="n">
        <v>46127</v>
      </c>
      <c r="E36" s="2" t="inlineStr">
        <is>
          <t>RECEPCIÓN</t>
        </is>
      </c>
      <c r="F36" s="50" t="inlineStr">
        <is>
          <t>SPCP MACKENZY RAMIREZ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50" t="inlineStr">
        <is>
          <t>NÚMERO DE CONTROL CORRECTO: 300013052</t>
        </is>
      </c>
      <c r="J36" s="52" t="n"/>
      <c r="K36" s="16" t="n"/>
    </row>
    <row r="37" ht="29.6" customHeight="1" thickBot="1">
      <c r="A37" s="29" t="inlineStr">
        <is>
          <t>CIRCULO MILITAR</t>
        </is>
      </c>
      <c r="B37" s="30" t="inlineStr">
        <is>
          <t>YEFFERSON MAY MORGADO CHACON</t>
        </is>
      </c>
      <c r="C37" s="25" t="inlineStr">
        <is>
          <t>125489</t>
        </is>
      </c>
      <c r="D37" s="32" t="n">
        <v>46129</v>
      </c>
      <c r="E37" s="2" t="inlineStr">
        <is>
          <t>RECEPCIÓN</t>
        </is>
      </c>
      <c r="F37" s="50" t="inlineStr">
        <is>
          <t>SPCP CESAR HERNANDEZ</t>
        </is>
      </c>
      <c r="G37" s="20" t="inlineStr">
        <is>
          <t>NÚMERO DE CONTROL O DOCUMENTO ERRÓNEO.</t>
        </is>
      </c>
      <c r="H37" s="20">
        <f>IF(G37="","",VLOOKUP(G37,REFERENCIA!$A$1:$B$14,2,0))</f>
        <v/>
      </c>
      <c r="I37" s="30" t="inlineStr">
        <is>
          <t>número de factura correcto: 125489</t>
        </is>
      </c>
      <c r="J37" s="52" t="n"/>
      <c r="K37" s="16" t="n"/>
    </row>
    <row r="38" ht="29.6" customHeight="1" thickBot="1">
      <c r="A38" s="29" t="inlineStr">
        <is>
          <t>SAN DIEGO</t>
        </is>
      </c>
      <c r="B38" s="30" t="inlineStr">
        <is>
          <t>CAVA LUXOR</t>
        </is>
      </c>
      <c r="C38" s="25" t="inlineStr">
        <is>
          <t xml:space="preserve">*3000013075
</t>
        </is>
      </c>
      <c r="D38" s="32" t="n">
        <v>46129</v>
      </c>
      <c r="E38" s="2" t="inlineStr">
        <is>
          <t>RECEPCIÓN</t>
        </is>
      </c>
      <c r="F38" s="50" t="inlineStr">
        <is>
          <t>SUB GERENTE CARLOS ALMENAR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30" t="inlineStr">
        <is>
          <t>NÚMERO DE CONTROL CORRECTO: 300013075</t>
        </is>
      </c>
      <c r="J38" s="52" t="n"/>
      <c r="K38" s="16" t="n"/>
    </row>
    <row r="39" ht="29.6" customHeight="1" thickBot="1">
      <c r="A39" s="29" t="inlineStr">
        <is>
          <t>SAN DIEGO</t>
        </is>
      </c>
      <c r="B39" s="30" t="inlineStr">
        <is>
          <t>EMBUTIDOS MOVILLA, C.A.</t>
        </is>
      </c>
      <c r="C39" s="25" t="inlineStr">
        <is>
          <t>00159402</t>
        </is>
      </c>
      <c r="D39" s="32" t="n">
        <v>46133</v>
      </c>
      <c r="E39" s="2" t="inlineStr">
        <is>
          <t>RECEPCIÓN</t>
        </is>
      </c>
      <c r="F39" s="50" t="inlineStr">
        <is>
          <t>SUB GERENTE YELITXA ANGULO</t>
        </is>
      </c>
      <c r="G39" s="20" t="inlineStr">
        <is>
          <t>NÚMERO DE CONTROL O DOCUMENTO ERRÓNEO.</t>
        </is>
      </c>
      <c r="H39" s="20">
        <f>IF(G39="","",VLOOKUP(G39,REFERENCIA!$A$1:$B$14,2,0))</f>
        <v/>
      </c>
      <c r="I39" s="50" t="inlineStr">
        <is>
          <t>NÚMERO DE FACTURA CORRECTO: 00159482</t>
        </is>
      </c>
      <c r="J39" s="52" t="n"/>
      <c r="K39" s="16" t="n"/>
    </row>
    <row r="40" ht="37.75" customHeight="1" thickBot="1">
      <c r="A40" s="29" t="inlineStr">
        <is>
          <t>CIRCULO MILITAR</t>
        </is>
      </c>
      <c r="B40" s="30" t="inlineStr">
        <is>
          <t>CAVA LUXOR</t>
        </is>
      </c>
      <c r="C40" s="25" t="inlineStr">
        <is>
          <t xml:space="preserve">*300013784
</t>
        </is>
      </c>
      <c r="D40" s="32" t="n">
        <v>46133</v>
      </c>
      <c r="E40" s="2" t="inlineStr">
        <is>
          <t>RECEPCIÓN</t>
        </is>
      </c>
      <c r="F40" s="50" t="inlineStr">
        <is>
          <t>SPCP DANIHEL PALACIOS</t>
        </is>
      </c>
      <c r="G40" s="20" t="inlineStr">
        <is>
          <t>ERROR DE KG EN TARA.</t>
        </is>
      </c>
      <c r="H40" s="20">
        <f>IF(G40="","",VLOOKUP(G40,REFERENCIA!$A$1:$B$14,2,0))</f>
        <v/>
      </c>
      <c r="I40" s="50" t="inlineStr">
        <is>
          <t xml:space="preserve">NO AGREGO EL PESO DE LAS TARAS AL QUESO LLANERO, 12 TARAS DE 2,6KG (31,2KG) </t>
        </is>
      </c>
      <c r="J40" s="22" t="n">
        <v>309.2</v>
      </c>
      <c r="K40" s="16" t="n"/>
    </row>
    <row r="41" ht="29.6" customHeight="1" thickBot="1">
      <c r="A41" s="29" t="inlineStr">
        <is>
          <t>CIRCULO MILITAR</t>
        </is>
      </c>
      <c r="B41" s="30" t="inlineStr">
        <is>
          <t>CAVA LUXOR</t>
        </is>
      </c>
      <c r="C41" s="25" t="inlineStr">
        <is>
          <t xml:space="preserve">*5278
</t>
        </is>
      </c>
      <c r="D41" s="32" t="n">
        <v>46133</v>
      </c>
      <c r="E41" s="2" t="inlineStr">
        <is>
          <t>RECEPCIÓN</t>
        </is>
      </c>
      <c r="F41" s="50" t="inlineStr">
        <is>
          <t>SPCP DANIHEL PALACIOS</t>
        </is>
      </c>
      <c r="G41" s="20" t="inlineStr">
        <is>
          <t>DIFERENCIA ENTRE CANTIDAD FISCALIZADA Y DOCUMENTO.</t>
        </is>
      </c>
      <c r="H41" s="20">
        <f>IF(G41="","",VLOOKUP(G41,REFERENCIA!$A$1:$B$14,2,0))</f>
        <v/>
      </c>
      <c r="I41" s="50" t="inlineStr">
        <is>
          <t>FALTO COLOCAR NOTA DE DIFERENCIA DE 2,95KG DE QUESO EN BARRA GALLO NEGRO</t>
        </is>
      </c>
      <c r="J41" s="22" t="n">
        <v>97.3</v>
      </c>
      <c r="K41" s="16" t="n"/>
    </row>
    <row r="42" ht="24.9" customHeight="1">
      <c r="A42" s="29" t="inlineStr">
        <is>
          <t>CIRCULO MILITAR</t>
        </is>
      </c>
      <c r="B42" s="30" t="inlineStr">
        <is>
          <t>CAVA LUXOR</t>
        </is>
      </c>
      <c r="C42" s="25" t="inlineStr">
        <is>
          <t>*5338</t>
        </is>
      </c>
      <c r="D42" s="32" t="n">
        <v>46134</v>
      </c>
      <c r="E42" s="2" t="inlineStr">
        <is>
          <t>RECEPCIÓN</t>
        </is>
      </c>
      <c r="F42" s="50" t="inlineStr">
        <is>
          <t>GERENTE OSWALDO</t>
        </is>
      </c>
      <c r="G42" s="20" t="inlineStr">
        <is>
          <t>RECEPCIÓN SIN AUTORIZACIÓN DE CMF.</t>
        </is>
      </c>
      <c r="H42" s="20">
        <f>IF(G42="","",VLOOKUP(G42,REFERENCIA!$A$1:$B$14,2,0))</f>
        <v/>
      </c>
      <c r="I42" s="50" t="inlineStr">
        <is>
          <t>RECIBIO LA "PUNTA TRASERA" SIN AUTORIZACIÓN DEL CMF</t>
        </is>
      </c>
      <c r="J42" s="52" t="n"/>
      <c r="K42" s="16" t="n"/>
    </row>
    <row r="43" ht="24.9" customHeight="1">
      <c r="A43" s="29" t="inlineStr">
        <is>
          <t>CIRCULO MILITAR</t>
        </is>
      </c>
      <c r="B43" s="30" t="inlineStr">
        <is>
          <t>ADOLFO'S VICAR, C.A.</t>
        </is>
      </c>
      <c r="C43" s="25" t="inlineStr">
        <is>
          <t>13479</t>
        </is>
      </c>
      <c r="D43" s="32" t="n">
        <v>46134</v>
      </c>
      <c r="E43" s="30" t="inlineStr">
        <is>
          <t>RECEPCIÓN</t>
        </is>
      </c>
      <c r="F43" s="50" t="inlineStr">
        <is>
          <t>SPCP DANIHEL PALACIOS</t>
        </is>
      </c>
      <c r="G43" s="20" t="inlineStr">
        <is>
          <t>ERROR DE KG EN TARA.</t>
        </is>
      </c>
      <c r="H43" s="20">
        <f>IF(G43="","",VLOOKUP(G43,REFERENCIA!$A$1:$B$14,2,0))</f>
        <v/>
      </c>
      <c r="I43" s="50" t="inlineStr">
        <is>
          <t>FALTO AGREGAR 2 TARAS DE 2,3KG(4,6KG) AL CEBOLLIN</t>
        </is>
      </c>
      <c r="J43" s="22" t="n">
        <v>3.52</v>
      </c>
      <c r="K43" s="16" t="n"/>
    </row>
    <row r="44" ht="29.15" customHeight="1">
      <c r="A44" s="29" t="inlineStr">
        <is>
          <t>SAN DIEGO</t>
        </is>
      </c>
      <c r="B44" s="30" t="inlineStr">
        <is>
          <t>AGROPECUARIA PUNTA LARGA, C.A.</t>
        </is>
      </c>
      <c r="C44" s="25" t="inlineStr">
        <is>
          <t>D002993</t>
        </is>
      </c>
      <c r="D44" s="32" t="n">
        <v>46134</v>
      </c>
      <c r="E44" s="30" t="inlineStr">
        <is>
          <t>RECEPCIÓN</t>
        </is>
      </c>
      <c r="F44" s="50" t="inlineStr">
        <is>
          <t>SUB GERENTE</t>
        </is>
      </c>
      <c r="G44" s="20" t="inlineStr">
        <is>
          <t>NÚMERO DE CONTROL O DOCUMENTO ERRÓNEO.</t>
        </is>
      </c>
      <c r="H44" s="20">
        <f>IF(G44="","",VLOOKUP(G44,REFERENCIA!$A$1:$B$14,2,0))</f>
        <v/>
      </c>
      <c r="I44" s="50" t="inlineStr">
        <is>
          <t>NÚMERO DE FACTURA CORRECTO: D002993</t>
        </is>
      </c>
      <c r="J44" s="52" t="n"/>
      <c r="K44" s="16" t="n"/>
    </row>
    <row r="45" ht="29.15" customHeight="1">
      <c r="A45" s="29" t="inlineStr">
        <is>
          <t>CIRCULO MILITAR</t>
        </is>
      </c>
      <c r="B45" s="30" t="inlineStr">
        <is>
          <t>HIDROPONIAS VENEZOLANAS, C.A</t>
        </is>
      </c>
      <c r="C45" s="25" t="inlineStr">
        <is>
          <t>20110261</t>
        </is>
      </c>
      <c r="D45" s="32" t="n">
        <v>46135</v>
      </c>
      <c r="E45" s="30" t="inlineStr">
        <is>
          <t>RECEPCIÓN</t>
        </is>
      </c>
      <c r="F45" s="50" t="inlineStr">
        <is>
          <t>SPCP HILDEMAR BUENO</t>
        </is>
      </c>
      <c r="G45" s="20" t="inlineStr">
        <is>
          <t>NO FISCALIZÓ UNO O VARIOS PRODUCTOS</t>
        </is>
      </c>
      <c r="H45" s="20">
        <f>IF(G45="","",VLOOKUP(G45,REFERENCIA!$A$1:$B$14,2,0))</f>
        <v/>
      </c>
      <c r="I45" s="50" t="inlineStr">
        <is>
          <t>FALTO AGREGAR EL BROCOLI EN BANDEJA, 10 UNIDADES.</t>
        </is>
      </c>
      <c r="J45" s="52" t="n">
        <v>43.8</v>
      </c>
      <c r="K45" s="16" t="n"/>
    </row>
    <row r="46" ht="24.9" customHeight="1">
      <c r="A46" s="29" t="inlineStr">
        <is>
          <t>CIRCULO MILITAR</t>
        </is>
      </c>
      <c r="B46" s="30" t="inlineStr">
        <is>
          <t>FRUMIX,C.A.</t>
        </is>
      </c>
      <c r="C46" s="25" t="inlineStr">
        <is>
          <t>00009489</t>
        </is>
      </c>
      <c r="D46" s="32" t="n">
        <v>46135</v>
      </c>
      <c r="E46" s="30" t="inlineStr">
        <is>
          <t>RECEPCIÓN</t>
        </is>
      </c>
      <c r="F46" s="50" t="inlineStr">
        <is>
          <t>SPCP HILDEMAR BUENO</t>
        </is>
      </c>
      <c r="G46" s="20" t="inlineStr">
        <is>
          <t>ERROR DE KG EN TARA.</t>
        </is>
      </c>
      <c r="H46" s="20">
        <f>IF(G46="","",VLOOKUP(G46,REFERENCIA!$A$1:$B$14,2,0))</f>
        <v/>
      </c>
      <c r="I46" s="30" t="inlineStr">
        <is>
          <t>FALTO AGREGAR UNA TARA DE 1,2KG A LA MANZANA VERDE</t>
        </is>
      </c>
      <c r="J46" s="22" t="n">
        <v>7.9</v>
      </c>
      <c r="K46" s="16" t="n"/>
    </row>
    <row r="47" ht="29.15" customHeight="1">
      <c r="A47" s="29" t="inlineStr">
        <is>
          <t>SAN DIEGO</t>
        </is>
      </c>
      <c r="B47" s="30" t="inlineStr">
        <is>
          <t>FRUMIX,C.A.</t>
        </is>
      </c>
      <c r="C47" s="25" t="inlineStr">
        <is>
          <t>00009506</t>
        </is>
      </c>
      <c r="D47" s="32" t="n">
        <v>46135</v>
      </c>
      <c r="E47" s="30" t="inlineStr">
        <is>
          <t>RECEPCIÓN</t>
        </is>
      </c>
      <c r="F47" s="50" t="inlineStr">
        <is>
          <t>SUB GERENTE CARLOS ALMENAR</t>
        </is>
      </c>
      <c r="G47" s="20" t="inlineStr">
        <is>
          <t>NÚMERO DE CONTROL O DOCUMENTO ERRÓNEO.</t>
        </is>
      </c>
      <c r="H47" s="20">
        <f>IF(G47="","",VLOOKUP(G47,REFERENCIA!$A$1:$B$14,2,0))</f>
        <v/>
      </c>
      <c r="I47" s="50" t="inlineStr">
        <is>
          <t>NÚMERO DE FACTURA CORRECTO: 00009506</t>
        </is>
      </c>
      <c r="J47" s="52" t="n"/>
      <c r="K47" s="16" t="n"/>
    </row>
    <row r="48" ht="49.75" customHeight="1">
      <c r="A48" s="29" t="inlineStr">
        <is>
          <t>SAN DIEGO</t>
        </is>
      </c>
      <c r="B48" s="30" t="inlineStr">
        <is>
          <t>ALIMENTOS HEINZ, C.A</t>
        </is>
      </c>
      <c r="C48" s="25" t="inlineStr">
        <is>
          <t>2224433</t>
        </is>
      </c>
      <c r="D48" s="32" t="n">
        <v>46135</v>
      </c>
      <c r="E48" s="30" t="inlineStr">
        <is>
          <t>RECEPCIÓN</t>
        </is>
      </c>
      <c r="F48" s="50" t="inlineStr">
        <is>
          <t>EL PROVEEDOR</t>
        </is>
      </c>
      <c r="G48" s="20" t="inlineStr">
        <is>
          <t>DIFERENCIA ENTRE CANTIDAD FISCALIZADA Y DOCUMENTO.</t>
        </is>
      </c>
      <c r="H48" s="20">
        <f>IF(G48="","",VLOOKUP(G48,REFERENCIA!$A$1:$B$14,2,0))</f>
        <v/>
      </c>
      <c r="I48" s="50" t="inlineStr">
        <is>
          <t>UNA (1) UNIDAD DE GELATINA SONRISSA CEREZA 60GR" DAÑADA CANCELADA POR EL RESPONSABLE PARA NO GENERAR UN FALTANTE EN LA FACTURA</t>
        </is>
      </c>
      <c r="J48" s="26" t="n">
        <v>1.96</v>
      </c>
      <c r="K48" s="16" t="inlineStr">
        <is>
          <t>00124557</t>
        </is>
      </c>
    </row>
    <row r="49" ht="49.75" customHeight="1">
      <c r="A49" s="29" t="inlineStr">
        <is>
          <t>SAN DIEGO</t>
        </is>
      </c>
      <c r="B49" s="30" t="inlineStr">
        <is>
          <t>ALIMENTOS HEINZ, C.A.</t>
        </is>
      </c>
      <c r="C49" s="25" t="inlineStr">
        <is>
          <t>2224434</t>
        </is>
      </c>
      <c r="D49" s="32" t="n">
        <v>46135</v>
      </c>
      <c r="E49" s="30" t="inlineStr">
        <is>
          <t>RECEPCIÓN</t>
        </is>
      </c>
      <c r="F49" s="50" t="inlineStr">
        <is>
          <t>EL PROVEEDOR</t>
        </is>
      </c>
      <c r="G49" s="20" t="inlineStr">
        <is>
          <t>DIFERENCIA ENTRE CANTIDAD FISCALIZADA Y DOCUMENTO.</t>
        </is>
      </c>
      <c r="H49" s="20">
        <f>IF(G49="","",VLOOKUP(G49,REFERENCIA!$A$1:$B$14,2,0))</f>
        <v/>
      </c>
      <c r="I49" s="50" t="inlineStr">
        <is>
          <t>UNA (1) UNIDAD DE GELATINA SONRISSA FRAMBUESA 60GR" DAÑADA CANCELADA POR EL RESPONSABLE PARA NO GENERAR UN FALTANTE EN LA FACTURA</t>
        </is>
      </c>
      <c r="J49" s="26" t="n">
        <v>1.55</v>
      </c>
      <c r="K49" s="16" t="inlineStr">
        <is>
          <t>00124560</t>
        </is>
      </c>
    </row>
    <row r="50" ht="49.75" customHeight="1">
      <c r="A50" s="29" t="inlineStr">
        <is>
          <t>SAN DIEGO</t>
        </is>
      </c>
      <c r="B50" s="30" t="inlineStr">
        <is>
          <t>CERVECERIA POLAR, C.A</t>
        </is>
      </c>
      <c r="C50" s="25" t="inlineStr">
        <is>
          <t>1634081446</t>
        </is>
      </c>
      <c r="D50" s="32" t="n">
        <v>46140</v>
      </c>
      <c r="E50" s="30" t="inlineStr">
        <is>
          <t>RECEPCIÓN</t>
        </is>
      </c>
      <c r="F50" s="50" t="inlineStr">
        <is>
          <t>EL PROVEEDOR</t>
        </is>
      </c>
      <c r="G50" s="20" t="inlineStr">
        <is>
          <t>DIFERENCIA ENTRE CANTIDAD FISCALIZADA Y DOCUMENTO.</t>
        </is>
      </c>
      <c r="H50" s="20">
        <f>IF(G50="","",VLOOKUP(G50,REFERENCIA!$A$1:$B$14,2,0))</f>
        <v/>
      </c>
      <c r="I50" s="50" t="inlineStr">
        <is>
          <t>UNA (1) UNIDAD DE "CERVEZA POLAR LIGHT DE LATA DE 355GR" DAÑADA CANCELADA POR EL RESPONSABLE PARA NO GENERAR UN FALTANTE EN LA FACTURA</t>
        </is>
      </c>
      <c r="J50" s="26" t="n">
        <v>1.08</v>
      </c>
      <c r="K50" s="40" t="n">
        <v>219056</v>
      </c>
    </row>
    <row r="51" ht="62.15" customHeight="1">
      <c r="A51" s="29" t="inlineStr">
        <is>
          <t>SAN DIEGO</t>
        </is>
      </c>
      <c r="B51" s="30" t="inlineStr">
        <is>
          <t>AGROPECUARIA LATIN FRUITS C.A.</t>
        </is>
      </c>
      <c r="C51" s="31" t="n">
        <v>6429</v>
      </c>
      <c r="D51" s="32" t="n">
        <v>46141</v>
      </c>
      <c r="E51" s="30" t="inlineStr">
        <is>
          <t>RECEPCIÓN</t>
        </is>
      </c>
      <c r="F51" s="30" t="inlineStr">
        <is>
          <t>SUB GERENTE YELITXA ANGULO</t>
        </is>
      </c>
      <c r="G51" s="30" t="inlineStr">
        <is>
          <t>ERROR DE KG EN TARA.</t>
        </is>
      </c>
      <c r="H51" s="30">
        <f>IF(G51="","",VLOOKUP(G51,REFERENCIA!$A$1:$B$15,2,0))</f>
        <v/>
      </c>
      <c r="I51" s="30" t="inlineStr">
        <is>
          <t>SE AGREGO UN PESO DE 22KG A LA CIRUELA ROJA, SIENDO LA TARA DE 2,2KG EN REALIDAD, ESTO IMPEDIA AGREGAR EL PESO DEL PRODUCTO AL SISTEMA, 5KG NETOS.</t>
        </is>
      </c>
      <c r="J51" s="31" t="n">
        <v>19.65</v>
      </c>
      <c r="K51" s="40" t="n"/>
    </row>
    <row r="52" ht="24.9" customHeight="1">
      <c r="A52" s="29" t="inlineStr">
        <is>
          <t>SAN DIEGO</t>
        </is>
      </c>
      <c r="B52" s="30" t="inlineStr">
        <is>
          <t>LA CARIDAD C.A.</t>
        </is>
      </c>
      <c r="C52" s="31" t="n">
        <v>41646</v>
      </c>
      <c r="D52" s="32" t="n">
        <v>46142</v>
      </c>
      <c r="E52" s="30" t="inlineStr">
        <is>
          <t>RECEPCIÓN</t>
        </is>
      </c>
      <c r="F52" s="30" t="inlineStr">
        <is>
          <t>GERENTE JHOAN VENA</t>
        </is>
      </c>
      <c r="G52" s="30" t="inlineStr">
        <is>
          <t>NO FISCALIZÓ UNO O VARIOS PRODUCTOS</t>
        </is>
      </c>
      <c r="H52" s="30">
        <f>IF(G52="","",VLOOKUP(G52,REFERENCIA!$A$1:$B$15,2,0))</f>
        <v/>
      </c>
      <c r="I52" s="30" t="inlineStr">
        <is>
          <t>FALTO AGREGAR UN PESAJE DE "POLLO ENTERO CONGELAGO", 446,6KG</t>
        </is>
      </c>
      <c r="J52" s="31" t="n">
        <v>1549.7</v>
      </c>
      <c r="K52" s="40" t="n"/>
    </row>
    <row r="53" ht="37.3" customHeight="1">
      <c r="A53" s="29" t="inlineStr">
        <is>
          <t>SAN DIEGO</t>
        </is>
      </c>
      <c r="B53" s="30" t="inlineStr">
        <is>
          <t>SUPLIDORA EL VIGIA, COMPAÑIA ANONIMA(SUVICA)</t>
        </is>
      </c>
      <c r="C53" s="31" t="n">
        <v>6160</v>
      </c>
      <c r="D53" s="32" t="n">
        <v>46142</v>
      </c>
      <c r="E53" s="30" t="inlineStr">
        <is>
          <t>RECEPCIÓN</t>
        </is>
      </c>
      <c r="F53" s="30" t="inlineStr">
        <is>
          <t>SUB GERENTE YELITXA ANGULO</t>
        </is>
      </c>
      <c r="G53" s="30" t="inlineStr">
        <is>
          <t>NO SE COMPLETA EL PROCESO DE FISCALIZACION Y SE ELIMINA.</t>
        </is>
      </c>
      <c r="H53" s="30">
        <f>IF(G53="","",VLOOKUP(G53,REFERENCIA!$A$1:$B$15,2,0))</f>
        <v/>
      </c>
      <c r="I53" s="30" t="inlineStr">
        <is>
          <t>LA RESPONSABLE NO CULMINO EL PROCESO Y EL SISTEMA ELIMINO LA FACTURA, 1511,4KG DE PRODUCTO TOTAL</t>
        </is>
      </c>
      <c r="J53" s="31" t="n">
        <v>3234.4</v>
      </c>
      <c r="K53" s="40" t="n"/>
    </row>
    <row r="54" ht="37.3" customHeight="1">
      <c r="A54" s="29" t="inlineStr">
        <is>
          <t>CIRCULO MILITAR</t>
        </is>
      </c>
      <c r="B54" s="30" t="inlineStr">
        <is>
          <t>FRIOQUESOS LOS ANDES, C.A</t>
        </is>
      </c>
      <c r="C54" s="31" t="n">
        <v>2316</v>
      </c>
      <c r="D54" s="32" t="n">
        <v>46142</v>
      </c>
      <c r="E54" s="30" t="inlineStr">
        <is>
          <t>RECEPCIÓN</t>
        </is>
      </c>
      <c r="F54" s="30" t="inlineStr">
        <is>
          <t>RECIBIDORA ERBULA VIÑA</t>
        </is>
      </c>
      <c r="G54" s="30" t="inlineStr">
        <is>
          <t>NO SE INDICÓ DIFERENCIA AL DORSO DE LA FACTURA.</t>
        </is>
      </c>
      <c r="H54" s="30">
        <f>IF(G54="","",VLOOKUP(G54,REFERENCIA!$A$1:$B$15,2,0))</f>
        <v/>
      </c>
      <c r="I54" s="30" t="inlineStr">
        <is>
          <t>NO AGREGO NOTA DE FALTANTE DE 600GR DE QUESO MAJU ESPECIAL Y 300GR DE QUESO SEMIDURO ANDINO</t>
        </is>
      </c>
      <c r="J54" s="33" t="n">
        <v>15.24</v>
      </c>
      <c r="K54" s="40" t="inlineStr">
        <is>
          <t>00100494</t>
        </is>
      </c>
    </row>
    <row r="55">
      <c r="A55" s="29" t="n"/>
      <c r="B55" s="30" t="n"/>
      <c r="C55" s="31" t="n"/>
      <c r="D55" s="30" t="n"/>
      <c r="E55" s="30" t="n"/>
      <c r="F55" s="30" t="n"/>
      <c r="G55" s="30" t="n"/>
      <c r="H55" s="30">
        <f>IF(G55="","",VLOOKUP(G55,REFERENCIA!$A$1:$B$15,2,0))</f>
        <v/>
      </c>
      <c r="I55" s="30" t="n"/>
      <c r="J55" s="31" t="n"/>
      <c r="K55" s="40" t="n"/>
    </row>
    <row r="56">
      <c r="A56" s="29" t="n"/>
      <c r="B56" s="30" t="n"/>
      <c r="C56" s="31" t="n"/>
      <c r="D56" s="30" t="n"/>
      <c r="E56" s="30" t="n"/>
      <c r="F56" s="30" t="n"/>
      <c r="G56" s="30" t="n"/>
      <c r="H56" s="30">
        <f>IF(G56="","",VLOOKUP(G56,REFERENCIA!$A$1:$B$15,2,0))</f>
        <v/>
      </c>
      <c r="I56" s="30" t="n"/>
      <c r="J56" s="31" t="n"/>
      <c r="K56" s="40" t="n"/>
    </row>
    <row r="57">
      <c r="A57" s="29" t="n"/>
      <c r="B57" s="30" t="n"/>
      <c r="C57" s="31" t="n"/>
      <c r="D57" s="30" t="n"/>
      <c r="E57" s="30" t="n"/>
      <c r="F57" s="30" t="n"/>
      <c r="G57" s="30" t="n"/>
      <c r="H57" s="30">
        <f>IF(G57="","",VLOOKUP(G57,REFERENCIA!$A$1:$B$15,2,0))</f>
        <v/>
      </c>
      <c r="I57" s="30" t="n"/>
      <c r="J57" s="31" t="n"/>
      <c r="K57" s="40" t="n"/>
    </row>
    <row r="58">
      <c r="A58" s="29" t="n"/>
      <c r="B58" s="30" t="n"/>
      <c r="C58" s="31" t="n"/>
      <c r="D58" s="30" t="n"/>
      <c r="E58" s="30" t="n"/>
      <c r="F58" s="30" t="n"/>
      <c r="G58" s="30" t="n"/>
      <c r="H58" s="30">
        <f>IF(G58="","",VLOOKUP(G58,REFERENCIA!$A$1:$B$15,2,0))</f>
        <v/>
      </c>
      <c r="I58" s="30" t="n"/>
      <c r="J58" s="31" t="n"/>
      <c r="K58" s="40" t="n"/>
    </row>
    <row r="59">
      <c r="A59" s="29" t="n"/>
      <c r="B59" s="30" t="n"/>
      <c r="C59" s="31" t="n"/>
      <c r="D59" s="30" t="n"/>
      <c r="E59" s="30" t="n"/>
      <c r="F59" s="30" t="n"/>
      <c r="G59" s="30" t="n"/>
      <c r="H59" s="30">
        <f>IF(G59="","",VLOOKUP(G59,REFERENCIA!$A$1:$B$15,2,0))</f>
        <v/>
      </c>
      <c r="I59" s="30" t="n"/>
      <c r="J59" s="31" t="n"/>
      <c r="K59" s="40" t="n"/>
    </row>
    <row r="60">
      <c r="A60" s="29" t="n"/>
      <c r="B60" s="30" t="n"/>
      <c r="C60" s="31" t="n"/>
      <c r="D60" s="30" t="n"/>
      <c r="E60" s="30" t="n"/>
      <c r="F60" s="30" t="n"/>
      <c r="G60" s="30" t="n"/>
      <c r="H60" s="30">
        <f>IF(G60="","",VLOOKUP(G60,REFERENCIA!$A$1:$B$15,2,0))</f>
        <v/>
      </c>
      <c r="I60" s="30" t="n"/>
      <c r="J60" s="31" t="n"/>
      <c r="K60" s="40" t="n"/>
    </row>
    <row r="61">
      <c r="A61" s="29" t="n"/>
      <c r="B61" s="30" t="n"/>
      <c r="C61" s="31" t="n"/>
      <c r="D61" s="30" t="n"/>
      <c r="E61" s="30" t="n"/>
      <c r="F61" s="30" t="n"/>
      <c r="G61" s="30" t="n"/>
      <c r="H61" s="30">
        <f>IF(G61="","",VLOOKUP(G61,REFERENCIA!$A$1:$B$15,2,0))</f>
        <v/>
      </c>
      <c r="I61" s="30" t="n"/>
      <c r="J61" s="31" t="n"/>
      <c r="K61" s="40" t="n"/>
    </row>
    <row r="62">
      <c r="A62" s="29" t="n"/>
      <c r="B62" s="30" t="n"/>
      <c r="C62" s="31" t="n"/>
      <c r="D62" s="30" t="n"/>
      <c r="E62" s="30" t="n"/>
      <c r="F62" s="30" t="n"/>
      <c r="G62" s="30" t="n"/>
      <c r="H62" s="30">
        <f>IF(G62="","",VLOOKUP(G62,REFERENCIA!$A$1:$B$15,2,0))</f>
        <v/>
      </c>
      <c r="I62" s="30" t="n"/>
      <c r="J62" s="31" t="n"/>
      <c r="K62" s="40" t="n"/>
    </row>
    <row r="63">
      <c r="A63" s="29" t="n"/>
      <c r="B63" s="30" t="n"/>
      <c r="C63" s="31" t="n"/>
      <c r="D63" s="30" t="n"/>
      <c r="E63" s="30" t="n"/>
      <c r="F63" s="30" t="n"/>
      <c r="G63" s="30" t="n"/>
      <c r="H63" s="30">
        <f>IF(G63="","",VLOOKUP(G63,REFERENCIA!$A$1:$B$15,2,0))</f>
        <v/>
      </c>
      <c r="I63" s="30" t="n"/>
      <c r="J63" s="31" t="n"/>
      <c r="K63" s="40" t="n"/>
    </row>
    <row r="64">
      <c r="A64" s="29" t="n"/>
      <c r="B64" s="30" t="n"/>
      <c r="C64" s="31" t="n"/>
      <c r="D64" s="30" t="n"/>
      <c r="E64" s="30" t="n"/>
      <c r="F64" s="30" t="n"/>
      <c r="G64" s="30" t="n"/>
      <c r="H64" s="30">
        <f>IF(G64="","",VLOOKUP(G64,REFERENCIA!$A$1:$B$15,2,0))</f>
        <v/>
      </c>
      <c r="I64" s="30" t="n"/>
      <c r="J64" s="31" t="n"/>
      <c r="K64" s="40" t="n"/>
    </row>
    <row r="65">
      <c r="A65" s="29" t="n"/>
      <c r="B65" s="30" t="n"/>
      <c r="C65" s="31" t="n"/>
      <c r="D65" s="30" t="n"/>
      <c r="E65" s="30" t="n"/>
      <c r="F65" s="30" t="n"/>
      <c r="G65" s="30" t="n"/>
      <c r="H65" s="30">
        <f>IF(G65="","",VLOOKUP(G65,REFERENCIA!$A$1:$B$15,2,0))</f>
        <v/>
      </c>
      <c r="I65" s="30" t="n"/>
      <c r="J65" s="31" t="n"/>
      <c r="K65" s="40" t="n"/>
    </row>
    <row r="66">
      <c r="A66" s="29" t="n"/>
      <c r="B66" s="30" t="n"/>
      <c r="C66" s="31" t="n"/>
      <c r="D66" s="30" t="n"/>
      <c r="E66" s="30" t="n"/>
      <c r="F66" s="30" t="n"/>
      <c r="G66" s="30" t="n"/>
      <c r="H66" s="30">
        <f>IF(G66="","",VLOOKUP(G66,REFERENCIA!$A$1:$B$15,2,0))</f>
        <v/>
      </c>
      <c r="I66" s="30" t="n"/>
      <c r="J66" s="31" t="n"/>
      <c r="K66" s="40" t="n"/>
    </row>
    <row r="67">
      <c r="A67" s="29" t="n"/>
      <c r="B67" s="30" t="n"/>
      <c r="C67" s="31" t="n"/>
      <c r="D67" s="30" t="n"/>
      <c r="E67" s="30" t="n"/>
      <c r="F67" s="30" t="n"/>
      <c r="G67" s="30" t="n"/>
      <c r="H67" s="30">
        <f>IF(G67="","",VLOOKUP(G67,REFERENCIA!$A$1:$B$15,2,0))</f>
        <v/>
      </c>
      <c r="I67" s="30" t="n"/>
      <c r="J67" s="31" t="n"/>
      <c r="K67" s="40" t="n"/>
    </row>
    <row r="68">
      <c r="A68" s="29" t="n"/>
      <c r="B68" s="30" t="n"/>
      <c r="C68" s="31" t="n"/>
      <c r="D68" s="30" t="n"/>
      <c r="E68" s="30" t="n"/>
      <c r="F68" s="30" t="n"/>
      <c r="G68" s="30" t="n"/>
      <c r="H68" s="30">
        <f>IF(G68="","",VLOOKUP(G68,REFERENCIA!$A$1:$B$15,2,0))</f>
        <v/>
      </c>
      <c r="I68" s="30" t="n"/>
      <c r="J68" s="31" t="n"/>
      <c r="K68" s="40" t="n"/>
    </row>
    <row r="69">
      <c r="A69" s="29" t="n"/>
      <c r="B69" s="30" t="n"/>
      <c r="C69" s="31" t="n"/>
      <c r="D69" s="30" t="n"/>
      <c r="E69" s="30" t="n"/>
      <c r="F69" s="30" t="n"/>
      <c r="G69" s="30" t="n"/>
      <c r="H69" s="30">
        <f>IF(G69="","",VLOOKUP(G69,REFERENCIA!$A$1:$B$15,2,0))</f>
        <v/>
      </c>
      <c r="I69" s="30" t="n"/>
      <c r="J69" s="31" t="n"/>
      <c r="K69" s="40" t="n"/>
    </row>
    <row r="70">
      <c r="A70" s="29" t="n"/>
      <c r="B70" s="30" t="n"/>
      <c r="C70" s="31" t="n"/>
      <c r="D70" s="30" t="n"/>
      <c r="E70" s="30" t="n"/>
      <c r="F70" s="30" t="n"/>
      <c r="G70" s="30" t="n"/>
      <c r="H70" s="30">
        <f>IF(G70="","",VLOOKUP(G70,REFERENCIA!$A$1:$B$15,2,0))</f>
        <v/>
      </c>
      <c r="I70" s="30" t="n"/>
      <c r="J70" s="31" t="n"/>
      <c r="K70" s="40" t="n"/>
    </row>
    <row r="71">
      <c r="A71" s="29" t="n"/>
      <c r="B71" s="30" t="n"/>
      <c r="C71" s="31" t="n"/>
      <c r="D71" s="30" t="n"/>
      <c r="E71" s="30" t="n"/>
      <c r="F71" s="30" t="n"/>
      <c r="G71" s="30" t="n"/>
      <c r="H71" s="30">
        <f>IF(G71="","",VLOOKUP(G71,REFERENCIA!$A$1:$B$15,2,0))</f>
        <v/>
      </c>
      <c r="I71" s="30" t="n"/>
      <c r="J71" s="31" t="n"/>
      <c r="K71" s="40" t="n"/>
    </row>
    <row r="72">
      <c r="A72" s="29" t="n"/>
      <c r="B72" s="30" t="n"/>
      <c r="C72" s="31" t="n"/>
      <c r="D72" s="30" t="n"/>
      <c r="E72" s="30" t="n"/>
      <c r="F72" s="30" t="n"/>
      <c r="G72" s="30" t="n"/>
      <c r="H72" s="30">
        <f>IF(G72="","",VLOOKUP(G72,REFERENCIA!$A$1:$B$15,2,0))</f>
        <v/>
      </c>
      <c r="I72" s="30" t="n"/>
      <c r="J72" s="31" t="n"/>
      <c r="K72" s="40" t="n"/>
    </row>
    <row r="73">
      <c r="A73" s="29" t="n"/>
      <c r="B73" s="30" t="n"/>
      <c r="C73" s="31" t="n"/>
      <c r="D73" s="30" t="n"/>
      <c r="E73" s="30" t="n"/>
      <c r="F73" s="30" t="n"/>
      <c r="G73" s="30" t="n"/>
      <c r="H73" s="30">
        <f>IF(G73="","",VLOOKUP(G73,REFERENCIA!$A$1:$B$15,2,0))</f>
        <v/>
      </c>
      <c r="I73" s="30" t="n"/>
      <c r="J73" s="31" t="n"/>
      <c r="K73" s="40" t="n"/>
    </row>
    <row r="74">
      <c r="A74" s="29" t="n"/>
      <c r="B74" s="30" t="n"/>
      <c r="C74" s="31" t="n"/>
      <c r="D74" s="30" t="n"/>
      <c r="E74" s="30" t="n"/>
      <c r="F74" s="30" t="n"/>
      <c r="G74" s="30" t="n"/>
      <c r="H74" s="30">
        <f>IF(G74="","",VLOOKUP(G74,REFERENCIA!$A$1:$B$15,2,0))</f>
        <v/>
      </c>
      <c r="I74" s="30" t="n"/>
      <c r="J74" s="31" t="n"/>
      <c r="K74" s="40" t="n"/>
    </row>
    <row r="75">
      <c r="A75" s="29" t="n"/>
      <c r="B75" s="30" t="n"/>
      <c r="C75" s="31" t="n"/>
      <c r="D75" s="30" t="n"/>
      <c r="E75" s="30" t="n"/>
      <c r="F75" s="30" t="n"/>
      <c r="G75" s="30" t="n"/>
      <c r="H75" s="30">
        <f>IF(G75="","",VLOOKUP(G75,REFERENCIA!$A$1:$B$15,2,0))</f>
        <v/>
      </c>
      <c r="I75" s="30" t="n"/>
      <c r="J75" s="31" t="n"/>
      <c r="K75" s="40" t="n"/>
    </row>
    <row r="76">
      <c r="A76" s="29" t="n"/>
      <c r="B76" s="30" t="n"/>
      <c r="C76" s="31" t="n"/>
      <c r="D76" s="30" t="n"/>
      <c r="E76" s="30" t="n"/>
      <c r="F76" s="30" t="n"/>
      <c r="G76" s="30" t="n"/>
      <c r="H76" s="30">
        <f>IF(G76="","",VLOOKUP(G76,REFERENCIA!$A$1:$B$15,2,0))</f>
        <v/>
      </c>
      <c r="I76" s="30" t="n"/>
      <c r="J76" s="31" t="n"/>
      <c r="K76" s="40" t="n"/>
    </row>
    <row r="77">
      <c r="A77" s="29" t="n"/>
      <c r="B77" s="30" t="n"/>
      <c r="C77" s="31" t="n"/>
      <c r="D77" s="30" t="n"/>
      <c r="E77" s="30" t="n"/>
      <c r="F77" s="30" t="n"/>
      <c r="G77" s="30" t="n"/>
      <c r="H77" s="30">
        <f>IF(G77="","",VLOOKUP(G77,REFERENCIA!$A$1:$B$15,2,0))</f>
        <v/>
      </c>
      <c r="I77" s="30" t="n"/>
      <c r="J77" s="31" t="n"/>
      <c r="K77" s="40" t="n"/>
    </row>
    <row r="78">
      <c r="A78" s="29" t="n"/>
      <c r="B78" s="30" t="n"/>
      <c r="C78" s="31" t="n"/>
      <c r="D78" s="30" t="n"/>
      <c r="E78" s="30" t="n"/>
      <c r="F78" s="30" t="n"/>
      <c r="G78" s="30" t="n"/>
      <c r="H78" s="30">
        <f>IF(G78="","",VLOOKUP(G78,REFERENCIA!$A$1:$B$15,2,0))</f>
        <v/>
      </c>
      <c r="I78" s="30" t="n"/>
      <c r="J78" s="31" t="n"/>
      <c r="K78" s="40" t="n"/>
    </row>
    <row r="79">
      <c r="A79" s="29" t="n"/>
      <c r="B79" s="30" t="n"/>
      <c r="C79" s="31" t="n"/>
      <c r="D79" s="30" t="n"/>
      <c r="E79" s="30" t="n"/>
      <c r="F79" s="30" t="n"/>
      <c r="G79" s="30" t="n"/>
      <c r="H79" s="30">
        <f>IF(G79="","",VLOOKUP(G79,REFERENCIA!$A$1:$B$15,2,0))</f>
        <v/>
      </c>
      <c r="I79" s="30" t="n"/>
      <c r="J79" s="31" t="n"/>
      <c r="K79" s="40" t="n"/>
    </row>
    <row r="80">
      <c r="A80" s="29" t="n"/>
      <c r="B80" s="30" t="n"/>
      <c r="C80" s="31" t="n"/>
      <c r="D80" s="30" t="n"/>
      <c r="E80" s="30" t="n"/>
      <c r="F80" s="30" t="n"/>
      <c r="G80" s="30" t="n"/>
      <c r="H80" s="30">
        <f>IF(G80="","",VLOOKUP(G80,REFERENCIA!$A$1:$B$15,2,0))</f>
        <v/>
      </c>
      <c r="I80" s="30" t="n"/>
      <c r="J80" s="31" t="n"/>
      <c r="K80" s="40" t="n"/>
    </row>
    <row r="81">
      <c r="A81" s="29" t="n"/>
      <c r="B81" s="30" t="n"/>
      <c r="C81" s="31" t="n"/>
      <c r="D81" s="30" t="n"/>
      <c r="E81" s="30" t="n"/>
      <c r="F81" s="30" t="n"/>
      <c r="G81" s="30" t="n"/>
      <c r="H81" s="30">
        <f>IF(G81="","",VLOOKUP(G81,REFERENCIA!$A$1:$B$15,2,0))</f>
        <v/>
      </c>
      <c r="I81" s="30" t="n"/>
      <c r="J81" s="31" t="n"/>
      <c r="K81" s="40" t="n"/>
    </row>
    <row r="82">
      <c r="A82" s="29" t="n"/>
      <c r="B82" s="30" t="n"/>
      <c r="C82" s="31" t="n"/>
      <c r="D82" s="30" t="n"/>
      <c r="E82" s="30" t="n"/>
      <c r="F82" s="30" t="n"/>
      <c r="G82" s="30" t="n"/>
      <c r="H82" s="30">
        <f>IF(G82="","",VLOOKUP(G82,REFERENCIA!$A$1:$B$15,2,0))</f>
        <v/>
      </c>
      <c r="I82" s="30" t="n"/>
      <c r="J82" s="31" t="n"/>
      <c r="K82" s="40" t="n"/>
    </row>
    <row r="83">
      <c r="A83" s="29" t="n"/>
      <c r="B83" s="30" t="n"/>
      <c r="C83" s="31" t="n"/>
      <c r="D83" s="30" t="n"/>
      <c r="E83" s="30" t="n"/>
      <c r="F83" s="30" t="n"/>
      <c r="G83" s="30" t="n"/>
      <c r="H83" s="30">
        <f>IF(G83="","",VLOOKUP(G83,REFERENCIA!$A$1:$B$15,2,0))</f>
        <v/>
      </c>
      <c r="I83" s="30" t="n"/>
      <c r="J83" s="31" t="n"/>
      <c r="K83" s="40" t="n"/>
    </row>
    <row r="84">
      <c r="A84" s="29" t="n"/>
      <c r="B84" s="30" t="n"/>
      <c r="C84" s="31" t="n"/>
      <c r="D84" s="30" t="n"/>
      <c r="E84" s="30" t="n"/>
      <c r="F84" s="30" t="n"/>
      <c r="G84" s="30" t="n"/>
      <c r="H84" s="30">
        <f>IF(G84="","",VLOOKUP(G84,REFERENCIA!$A$1:$B$15,2,0))</f>
        <v/>
      </c>
      <c r="I84" s="30" t="n"/>
      <c r="J84" s="31" t="n"/>
      <c r="K84" s="40" t="n"/>
    </row>
    <row r="85">
      <c r="A85" s="29" t="n"/>
      <c r="B85" s="30" t="n"/>
      <c r="C85" s="31" t="n"/>
      <c r="D85" s="30" t="n"/>
      <c r="E85" s="30" t="n"/>
      <c r="F85" s="30" t="n"/>
      <c r="G85" s="30" t="n"/>
      <c r="H85" s="30">
        <f>IF(G85="","",VLOOKUP(G85,REFERENCIA!$A$1:$B$15,2,0))</f>
        <v/>
      </c>
      <c r="I85" s="30" t="n"/>
      <c r="J85" s="31" t="n"/>
      <c r="K85" s="40" t="n"/>
    </row>
    <row r="86">
      <c r="A86" s="29" t="n"/>
      <c r="B86" s="30" t="n"/>
      <c r="C86" s="31" t="n"/>
      <c r="D86" s="30" t="n"/>
      <c r="E86" s="30" t="n"/>
      <c r="F86" s="30" t="n"/>
      <c r="G86" s="30" t="n"/>
      <c r="H86" s="30">
        <f>IF(G86="","",VLOOKUP(G86,REFERENCIA!$A$1:$B$15,2,0))</f>
        <v/>
      </c>
      <c r="I86" s="30" t="n"/>
      <c r="J86" s="31" t="n"/>
      <c r="K86" s="40" t="n"/>
    </row>
    <row r="87">
      <c r="A87" s="29" t="n"/>
      <c r="B87" s="30" t="n"/>
      <c r="C87" s="31" t="n"/>
      <c r="D87" s="30" t="n"/>
      <c r="E87" s="30" t="n"/>
      <c r="F87" s="30" t="n"/>
      <c r="G87" s="30" t="n"/>
      <c r="H87" s="30">
        <f>IF(G87="","",VLOOKUP(G87,REFERENCIA!$A$1:$B$15,2,0))</f>
        <v/>
      </c>
      <c r="I87" s="30" t="n"/>
      <c r="J87" s="31" t="n"/>
      <c r="K87" s="40" t="n"/>
    </row>
    <row r="88">
      <c r="A88" s="29" t="n"/>
      <c r="B88" s="30" t="n"/>
      <c r="C88" s="31" t="n"/>
      <c r="D88" s="30" t="n"/>
      <c r="E88" s="30" t="n"/>
      <c r="F88" s="30" t="n"/>
      <c r="G88" s="30" t="n"/>
      <c r="H88" s="30">
        <f>IF(G88="","",VLOOKUP(G88,REFERENCIA!$A$1:$B$15,2,0))</f>
        <v/>
      </c>
      <c r="I88" s="30" t="n"/>
      <c r="J88" s="31" t="n"/>
      <c r="K88" s="40" t="n"/>
    </row>
    <row r="89">
      <c r="A89" s="29" t="n"/>
      <c r="B89" s="30" t="n"/>
      <c r="C89" s="31" t="n"/>
      <c r="D89" s="30" t="n"/>
      <c r="E89" s="30" t="n"/>
      <c r="F89" s="30" t="n"/>
      <c r="G89" s="30" t="n"/>
      <c r="H89" s="30">
        <f>IF(G89="","",VLOOKUP(G89,REFERENCIA!$A$1:$B$15,2,0))</f>
        <v/>
      </c>
      <c r="I89" s="30" t="n"/>
      <c r="J89" s="31" t="n"/>
      <c r="K89" s="40" t="n"/>
    </row>
    <row r="90">
      <c r="A90" s="29" t="n"/>
      <c r="B90" s="30" t="n"/>
      <c r="C90" s="31" t="n"/>
      <c r="D90" s="30" t="n"/>
      <c r="E90" s="30" t="n"/>
      <c r="F90" s="30" t="n"/>
      <c r="G90" s="30" t="n"/>
      <c r="H90" s="30">
        <f>IF(G90="","",VLOOKUP(G90,REFERENCIA!$A$1:$B$15,2,0))</f>
        <v/>
      </c>
      <c r="I90" s="30" t="n"/>
      <c r="J90" s="31" t="n"/>
      <c r="K90" s="40" t="n"/>
    </row>
    <row r="91">
      <c r="A91" s="29" t="n"/>
      <c r="B91" s="30" t="n"/>
      <c r="C91" s="31" t="n"/>
      <c r="D91" s="30" t="n"/>
      <c r="E91" s="30" t="n"/>
      <c r="F91" s="30" t="n"/>
      <c r="G91" s="30" t="n"/>
      <c r="H91" s="30">
        <f>IF(G91="","",VLOOKUP(G91,REFERENCIA!$A$1:$B$15,2,0))</f>
        <v/>
      </c>
      <c r="I91" s="30" t="n"/>
      <c r="J91" s="31" t="n"/>
      <c r="K91" s="40" t="n"/>
    </row>
    <row r="92">
      <c r="A92" s="29" t="n"/>
      <c r="B92" s="30" t="n"/>
      <c r="C92" s="31" t="n"/>
      <c r="D92" s="30" t="n"/>
      <c r="E92" s="30" t="n"/>
      <c r="F92" s="30" t="n"/>
      <c r="G92" s="30" t="n"/>
      <c r="H92" s="30">
        <f>IF(G92="","",VLOOKUP(G92,REFERENCIA!$A$1:$B$15,2,0))</f>
        <v/>
      </c>
      <c r="I92" s="30" t="n"/>
      <c r="J92" s="31" t="n"/>
      <c r="K92" s="40" t="n"/>
    </row>
    <row r="93">
      <c r="A93" s="29" t="n"/>
      <c r="B93" s="30" t="n"/>
      <c r="C93" s="31" t="n"/>
      <c r="D93" s="30" t="n"/>
      <c r="E93" s="30" t="n"/>
      <c r="F93" s="30" t="n"/>
      <c r="G93" s="30" t="n"/>
      <c r="H93" s="30">
        <f>IF(G93="","",VLOOKUP(G93,REFERENCIA!$A$1:$B$15,2,0))</f>
        <v/>
      </c>
      <c r="I93" s="30" t="n"/>
      <c r="J93" s="31" t="n"/>
      <c r="K93" s="40" t="n"/>
    </row>
    <row r="94">
      <c r="A94" s="29" t="n"/>
      <c r="B94" s="30" t="n"/>
      <c r="C94" s="31" t="n"/>
      <c r="D94" s="30" t="n"/>
      <c r="E94" s="30" t="n"/>
      <c r="F94" s="30" t="n"/>
      <c r="G94" s="30" t="n"/>
      <c r="H94" s="30">
        <f>IF(G94="","",VLOOKUP(G94,REFERENCIA!$A$1:$B$15,2,0))</f>
        <v/>
      </c>
      <c r="I94" s="30" t="n"/>
      <c r="J94" s="31" t="n"/>
      <c r="K94" s="40" t="n"/>
    </row>
    <row r="95">
      <c r="A95" s="29" t="n"/>
      <c r="B95" s="30" t="n"/>
      <c r="C95" s="31" t="n"/>
      <c r="D95" s="30" t="n"/>
      <c r="E95" s="30" t="n"/>
      <c r="F95" s="30" t="n"/>
      <c r="G95" s="30" t="n"/>
      <c r="H95" s="30">
        <f>IF(G95="","",VLOOKUP(G95,REFERENCIA!$A$1:$B$15,2,0))</f>
        <v/>
      </c>
      <c r="I95" s="30" t="n"/>
      <c r="J95" s="31" t="n"/>
      <c r="K95" s="40" t="n"/>
    </row>
    <row r="96">
      <c r="A96" s="29" t="n"/>
      <c r="B96" s="30" t="n"/>
      <c r="C96" s="31" t="n"/>
      <c r="D96" s="30" t="n"/>
      <c r="E96" s="30" t="n"/>
      <c r="F96" s="30" t="n"/>
      <c r="G96" s="30" t="n"/>
      <c r="H96" s="30">
        <f>IF(G96="","",VLOOKUP(G96,REFERENCIA!$A$1:$B$15,2,0))</f>
        <v/>
      </c>
      <c r="I96" s="30" t="n"/>
      <c r="J96" s="31" t="n"/>
      <c r="K96" s="40" t="n"/>
    </row>
    <row r="97">
      <c r="A97" s="29" t="n"/>
      <c r="B97" s="30" t="n"/>
      <c r="C97" s="31" t="n"/>
      <c r="D97" s="30" t="n"/>
      <c r="E97" s="30" t="n"/>
      <c r="F97" s="30" t="n"/>
      <c r="G97" s="30" t="n"/>
      <c r="H97" s="30">
        <f>IF(G97="","",VLOOKUP(G97,REFERENCIA!$A$1:$B$15,2,0))</f>
        <v/>
      </c>
      <c r="I97" s="30" t="n"/>
      <c r="J97" s="31" t="n"/>
      <c r="K97" s="40" t="n"/>
    </row>
    <row r="98">
      <c r="A98" s="29" t="n"/>
      <c r="B98" s="30" t="n"/>
      <c r="C98" s="31" t="n"/>
      <c r="D98" s="30" t="n"/>
      <c r="E98" s="30" t="n"/>
      <c r="F98" s="30" t="n"/>
      <c r="G98" s="30" t="n"/>
      <c r="H98" s="30">
        <f>IF(G98="","",VLOOKUP(G98,REFERENCIA!$A$1:$B$15,2,0))</f>
        <v/>
      </c>
      <c r="I98" s="30" t="n"/>
      <c r="J98" s="31" t="n"/>
      <c r="K98" s="40" t="n"/>
    </row>
    <row r="99">
      <c r="A99" s="29" t="n"/>
      <c r="B99" s="30" t="n"/>
      <c r="C99" s="31" t="n"/>
      <c r="D99" s="30" t="n"/>
      <c r="E99" s="30" t="n"/>
      <c r="F99" s="30" t="n"/>
      <c r="G99" s="30" t="n"/>
      <c r="H99" s="30">
        <f>IF(G99="","",VLOOKUP(G99,REFERENCIA!$A$1:$B$15,2,0))</f>
        <v/>
      </c>
      <c r="I99" s="30" t="n"/>
      <c r="J99" s="31" t="n"/>
      <c r="K99" s="40" t="n"/>
    </row>
    <row r="100">
      <c r="A100" s="29" t="n"/>
      <c r="B100" s="30" t="n"/>
      <c r="C100" s="31" t="n"/>
      <c r="D100" s="30" t="n"/>
      <c r="E100" s="30" t="n"/>
      <c r="F100" s="30" t="n"/>
      <c r="G100" s="30" t="n"/>
      <c r="H100" s="30">
        <f>IF(G100="","",VLOOKUP(G100,REFERENCIA!$A$1:$B$15,2,0))</f>
        <v/>
      </c>
      <c r="I100" s="30" t="n"/>
      <c r="J100" s="31" t="n"/>
      <c r="K100" s="40" t="n"/>
    </row>
    <row r="101">
      <c r="A101" s="29" t="n"/>
      <c r="B101" s="30" t="n"/>
      <c r="C101" s="31" t="n"/>
      <c r="D101" s="30" t="n"/>
      <c r="E101" s="30" t="n"/>
      <c r="F101" s="30" t="n"/>
      <c r="G101" s="30" t="n"/>
      <c r="H101" s="30">
        <f>IF(G101="","",VLOOKUP(G101,REFERENCIA!$A$1:$B$15,2,0))</f>
        <v/>
      </c>
      <c r="I101" s="30" t="n"/>
      <c r="J101" s="31" t="n"/>
      <c r="K101" s="40" t="n"/>
    </row>
    <row r="102">
      <c r="A102" s="29" t="n"/>
      <c r="B102" s="30" t="n"/>
      <c r="C102" s="31" t="n"/>
      <c r="D102" s="30" t="n"/>
      <c r="E102" s="30" t="n"/>
      <c r="F102" s="30" t="n"/>
      <c r="G102" s="30" t="n"/>
      <c r="H102" s="30">
        <f>IF(G102="","",VLOOKUP(G102,REFERENCIA!$A$1:$B$15,2,0))</f>
        <v/>
      </c>
      <c r="I102" s="30" t="n"/>
      <c r="J102" s="31" t="n"/>
      <c r="K102" s="40" t="n"/>
    </row>
    <row r="103">
      <c r="A103" s="29" t="n"/>
      <c r="B103" s="30" t="n"/>
      <c r="C103" s="31" t="n"/>
      <c r="D103" s="30" t="n"/>
      <c r="E103" s="30" t="n"/>
      <c r="F103" s="30" t="n"/>
      <c r="G103" s="30" t="n"/>
      <c r="H103" s="30">
        <f>IF(G103="","",VLOOKUP(G103,REFERENCIA!$A$1:$B$15,2,0))</f>
        <v/>
      </c>
      <c r="I103" s="30" t="n"/>
      <c r="J103" s="31" t="n"/>
      <c r="K103" s="40" t="n"/>
    </row>
    <row r="104">
      <c r="A104" s="29" t="n"/>
      <c r="B104" s="30" t="n"/>
      <c r="C104" s="31" t="n"/>
      <c r="D104" s="30" t="n"/>
      <c r="E104" s="30" t="n"/>
      <c r="F104" s="30" t="n"/>
      <c r="G104" s="30" t="n"/>
      <c r="H104" s="30">
        <f>IF(G104="","",VLOOKUP(G104,REFERENCIA!$A$1:$B$15,2,0))</f>
        <v/>
      </c>
      <c r="I104" s="30" t="n"/>
      <c r="J104" s="31" t="n"/>
      <c r="K104" s="40" t="n"/>
    </row>
    <row r="105">
      <c r="A105" s="29" t="n"/>
      <c r="B105" s="30" t="n"/>
      <c r="C105" s="31" t="n"/>
      <c r="D105" s="30" t="n"/>
      <c r="E105" s="30" t="n"/>
      <c r="F105" s="30" t="n"/>
      <c r="G105" s="30" t="n"/>
      <c r="H105" s="30">
        <f>IF(G105="","",VLOOKUP(G105,REFERENCIA!$A$1:$B$15,2,0))</f>
        <v/>
      </c>
      <c r="I105" s="30" t="n"/>
      <c r="J105" s="31" t="n"/>
      <c r="K105" s="40" t="n"/>
    </row>
    <row r="106">
      <c r="A106" s="29" t="n"/>
      <c r="B106" s="30" t="n"/>
      <c r="C106" s="31" t="n"/>
      <c r="D106" s="30" t="n"/>
      <c r="E106" s="30" t="n"/>
      <c r="F106" s="30" t="n"/>
      <c r="G106" s="30" t="n"/>
      <c r="H106" s="30">
        <f>IF(G106="","",VLOOKUP(G106,REFERENCIA!$A$1:$B$15,2,0))</f>
        <v/>
      </c>
      <c r="I106" s="30" t="n"/>
      <c r="J106" s="31" t="n"/>
      <c r="K106" s="40" t="n"/>
    </row>
    <row r="107">
      <c r="A107" s="29" t="n"/>
      <c r="B107" s="30" t="n"/>
      <c r="C107" s="31" t="n"/>
      <c r="D107" s="30" t="n"/>
      <c r="E107" s="30" t="n"/>
      <c r="F107" s="30" t="n"/>
      <c r="G107" s="30" t="n"/>
      <c r="H107" s="30">
        <f>IF(G107="","",VLOOKUP(G107,REFERENCIA!$A$1:$B$15,2,0))</f>
        <v/>
      </c>
      <c r="I107" s="30" t="n"/>
      <c r="J107" s="31" t="n"/>
      <c r="K107" s="40" t="n"/>
    </row>
    <row r="108">
      <c r="A108" s="29" t="n"/>
      <c r="B108" s="30" t="n"/>
      <c r="C108" s="31" t="n"/>
      <c r="D108" s="30" t="n"/>
      <c r="E108" s="30" t="n"/>
      <c r="F108" s="30" t="n"/>
      <c r="G108" s="30" t="n"/>
      <c r="H108" s="30">
        <f>IF(G108="","",VLOOKUP(G108,REFERENCIA!$A$1:$B$15,2,0))</f>
        <v/>
      </c>
      <c r="I108" s="30" t="n"/>
      <c r="J108" s="31" t="n"/>
      <c r="K108" s="40" t="n"/>
    </row>
    <row r="109">
      <c r="A109" s="29" t="n"/>
      <c r="B109" s="30" t="n"/>
      <c r="C109" s="31" t="n"/>
      <c r="D109" s="30" t="n"/>
      <c r="E109" s="30" t="n"/>
      <c r="F109" s="30" t="n"/>
      <c r="G109" s="30" t="n"/>
      <c r="H109" s="30">
        <f>IF(G109="","",VLOOKUP(G109,REFERENCIA!$A$1:$B$15,2,0))</f>
        <v/>
      </c>
      <c r="I109" s="30" t="n"/>
      <c r="J109" s="31" t="n"/>
      <c r="K109" s="40" t="n"/>
    </row>
    <row r="110">
      <c r="A110" s="29" t="n"/>
      <c r="B110" s="30" t="n"/>
      <c r="C110" s="31" t="n"/>
      <c r="D110" s="30" t="n"/>
      <c r="E110" s="30" t="n"/>
      <c r="F110" s="30" t="n"/>
      <c r="G110" s="30" t="n"/>
      <c r="H110" s="30">
        <f>IF(G110="","",VLOOKUP(G110,REFERENCIA!$A$1:$B$15,2,0))</f>
        <v/>
      </c>
      <c r="I110" s="30" t="n"/>
      <c r="J110" s="31" t="n"/>
      <c r="K110" s="40" t="n"/>
    </row>
    <row r="111">
      <c r="A111" s="29" t="n"/>
      <c r="B111" s="30" t="n"/>
      <c r="C111" s="31" t="n"/>
      <c r="D111" s="30" t="n"/>
      <c r="E111" s="30" t="n"/>
      <c r="F111" s="30" t="n"/>
      <c r="G111" s="30" t="n"/>
      <c r="H111" s="30">
        <f>IF(G111="","",VLOOKUP(G111,REFERENCIA!$A$1:$B$15,2,0))</f>
        <v/>
      </c>
      <c r="I111" s="30" t="n"/>
      <c r="J111" s="31" t="n"/>
      <c r="K111" s="40" t="n"/>
    </row>
    <row r="112">
      <c r="A112" s="29" t="n"/>
      <c r="B112" s="30" t="n"/>
      <c r="C112" s="31" t="n"/>
      <c r="D112" s="30" t="n"/>
      <c r="E112" s="30" t="n"/>
      <c r="F112" s="30" t="n"/>
      <c r="G112" s="30" t="n"/>
      <c r="H112" s="30">
        <f>IF(G112="","",VLOOKUP(G112,REFERENCIA!$A$1:$B$15,2,0))</f>
        <v/>
      </c>
      <c r="I112" s="30" t="n"/>
      <c r="J112" s="31" t="n"/>
      <c r="K112" s="40" t="n"/>
    </row>
    <row r="113">
      <c r="A113" s="29" t="n"/>
      <c r="B113" s="30" t="n"/>
      <c r="C113" s="31" t="n"/>
      <c r="D113" s="30" t="n"/>
      <c r="E113" s="30" t="n"/>
      <c r="F113" s="30" t="n"/>
      <c r="G113" s="30" t="n"/>
      <c r="H113" s="30">
        <f>IF(G113="","",VLOOKUP(G113,REFERENCIA!$A$1:$B$15,2,0))</f>
        <v/>
      </c>
      <c r="I113" s="30" t="n"/>
      <c r="J113" s="31" t="n"/>
      <c r="K113" s="40" t="n"/>
    </row>
    <row r="114">
      <c r="A114" s="29" t="n"/>
      <c r="B114" s="30" t="n"/>
      <c r="C114" s="31" t="n"/>
      <c r="D114" s="30" t="n"/>
      <c r="E114" s="30" t="n"/>
      <c r="F114" s="30" t="n"/>
      <c r="G114" s="30" t="n"/>
      <c r="H114" s="30">
        <f>IF(G114="","",VLOOKUP(G114,REFERENCIA!$A$1:$B$15,2,0))</f>
        <v/>
      </c>
      <c r="I114" s="30" t="n"/>
      <c r="J114" s="31" t="n"/>
      <c r="K114" s="40" t="n"/>
    </row>
    <row r="115">
      <c r="A115" s="29" t="n"/>
      <c r="B115" s="30" t="n"/>
      <c r="C115" s="31" t="n"/>
      <c r="D115" s="30" t="n"/>
      <c r="E115" s="30" t="n"/>
      <c r="F115" s="30" t="n"/>
      <c r="G115" s="30" t="n"/>
      <c r="H115" s="30">
        <f>IF(G115="","",VLOOKUP(G115,REFERENCIA!$A$1:$B$15,2,0))</f>
        <v/>
      </c>
      <c r="I115" s="30" t="n"/>
      <c r="J115" s="31" t="n"/>
      <c r="K115" s="40" t="n"/>
    </row>
    <row r="116">
      <c r="A116" s="29" t="n"/>
      <c r="B116" s="30" t="n"/>
      <c r="C116" s="31" t="n"/>
      <c r="D116" s="30" t="n"/>
      <c r="E116" s="30" t="n"/>
      <c r="F116" s="30" t="n"/>
      <c r="G116" s="30" t="n"/>
      <c r="H116" s="30">
        <f>IF(G116="","",VLOOKUP(G116,REFERENCIA!$A$1:$B$15,2,0))</f>
        <v/>
      </c>
      <c r="I116" s="30" t="n"/>
      <c r="J116" s="31" t="n"/>
      <c r="K116" s="40" t="n"/>
    </row>
    <row r="117">
      <c r="A117" s="29" t="n"/>
      <c r="B117" s="30" t="n"/>
      <c r="C117" s="31" t="n"/>
      <c r="D117" s="30" t="n"/>
      <c r="E117" s="30" t="n"/>
      <c r="F117" s="30" t="n"/>
      <c r="G117" s="30" t="n"/>
      <c r="H117" s="30">
        <f>IF(G117="","",VLOOKUP(G117,REFERENCIA!$A$1:$B$15,2,0))</f>
        <v/>
      </c>
      <c r="I117" s="30" t="n"/>
      <c r="J117" s="31" t="n"/>
      <c r="K117" s="40" t="n"/>
    </row>
    <row r="118">
      <c r="A118" s="29" t="n"/>
      <c r="B118" s="30" t="n"/>
      <c r="C118" s="31" t="n"/>
      <c r="D118" s="30" t="n"/>
      <c r="E118" s="30" t="n"/>
      <c r="F118" s="30" t="n"/>
      <c r="G118" s="30" t="n"/>
      <c r="H118" s="30">
        <f>IF(G118="","",VLOOKUP(G118,REFERENCIA!$A$1:$B$15,2,0))</f>
        <v/>
      </c>
      <c r="I118" s="30" t="n"/>
      <c r="J118" s="31" t="n"/>
      <c r="K118" s="40" t="n"/>
    </row>
    <row r="119">
      <c r="A119" s="29" t="n"/>
      <c r="B119" s="30" t="n"/>
      <c r="C119" s="31" t="n"/>
      <c r="D119" s="30" t="n"/>
      <c r="E119" s="30" t="n"/>
      <c r="F119" s="30" t="n"/>
      <c r="G119" s="30" t="n"/>
      <c r="H119" s="30">
        <f>IF(G119="","",VLOOKUP(G119,REFERENCIA!$A$1:$B$15,2,0))</f>
        <v/>
      </c>
      <c r="I119" s="30" t="n"/>
      <c r="J119" s="31" t="n"/>
      <c r="K119" s="40" t="n"/>
    </row>
    <row r="120">
      <c r="A120" s="29" t="n"/>
      <c r="B120" s="30" t="n"/>
      <c r="C120" s="31" t="n"/>
      <c r="D120" s="30" t="n"/>
      <c r="E120" s="30" t="n"/>
      <c r="F120" s="30" t="n"/>
      <c r="G120" s="30" t="n"/>
      <c r="H120" s="30">
        <f>IF(G120="","",VLOOKUP(G120,REFERENCIA!$A$1:$B$15,2,0))</f>
        <v/>
      </c>
      <c r="I120" s="30" t="n"/>
      <c r="J120" s="31" t="n"/>
      <c r="K120" s="40" t="n"/>
    </row>
    <row r="121">
      <c r="A121" s="29" t="n"/>
      <c r="B121" s="30" t="n"/>
      <c r="C121" s="31" t="n"/>
      <c r="D121" s="30" t="n"/>
      <c r="E121" s="30" t="n"/>
      <c r="F121" s="30" t="n"/>
      <c r="G121" s="30" t="n"/>
      <c r="H121" s="30">
        <f>IF(G121="","",VLOOKUP(G121,REFERENCIA!$A$1:$B$15,2,0))</f>
        <v/>
      </c>
      <c r="I121" s="30" t="n"/>
      <c r="J121" s="31" t="n"/>
      <c r="K121" s="40" t="n"/>
    </row>
    <row r="122">
      <c r="A122" s="29" t="n"/>
      <c r="B122" s="30" t="n"/>
      <c r="C122" s="31" t="n"/>
      <c r="D122" s="30" t="n"/>
      <c r="E122" s="30" t="n"/>
      <c r="F122" s="30" t="n"/>
      <c r="G122" s="30" t="n"/>
      <c r="H122" s="30">
        <f>IF(G122="","",VLOOKUP(G122,REFERENCIA!$A$1:$B$15,2,0))</f>
        <v/>
      </c>
      <c r="I122" s="30" t="n"/>
      <c r="J122" s="31" t="n"/>
      <c r="K122" s="40" t="n"/>
    </row>
    <row r="123">
      <c r="A123" s="29" t="n"/>
      <c r="B123" s="30" t="n"/>
      <c r="C123" s="31" t="n"/>
      <c r="D123" s="30" t="n"/>
      <c r="E123" s="30" t="n"/>
      <c r="F123" s="30" t="n"/>
      <c r="G123" s="30" t="n"/>
      <c r="H123" s="30">
        <f>IF(G123="","",VLOOKUP(G123,REFERENCIA!$A$1:$B$15,2,0))</f>
        <v/>
      </c>
      <c r="I123" s="30" t="n"/>
      <c r="J123" s="31" t="n"/>
      <c r="K123" s="40" t="n"/>
    </row>
    <row r="124">
      <c r="A124" s="29" t="n"/>
      <c r="B124" s="30" t="n"/>
      <c r="C124" s="31" t="n"/>
      <c r="D124" s="30" t="n"/>
      <c r="E124" s="30" t="n"/>
      <c r="F124" s="30" t="n"/>
      <c r="G124" s="30" t="n"/>
      <c r="H124" s="30">
        <f>IF(G124="","",VLOOKUP(G124,REFERENCIA!$A$1:$B$15,2,0))</f>
        <v/>
      </c>
      <c r="I124" s="30" t="n"/>
      <c r="J124" s="31" t="n"/>
      <c r="K124" s="40" t="n"/>
    </row>
    <row r="125">
      <c r="A125" s="29" t="n"/>
      <c r="B125" s="30" t="n"/>
      <c r="C125" s="31" t="n"/>
      <c r="D125" s="30" t="n"/>
      <c r="E125" s="30" t="n"/>
      <c r="F125" s="30" t="n"/>
      <c r="G125" s="30" t="n"/>
      <c r="H125" s="30">
        <f>IF(G125="","",VLOOKUP(G125,REFERENCIA!$A$1:$B$15,2,0))</f>
        <v/>
      </c>
      <c r="I125" s="30" t="n"/>
      <c r="J125" s="31" t="n"/>
      <c r="K125" s="40" t="n"/>
    </row>
    <row r="126">
      <c r="A126" s="29" t="n"/>
      <c r="B126" s="30" t="n"/>
      <c r="C126" s="31" t="n"/>
      <c r="D126" s="30" t="n"/>
      <c r="E126" s="30" t="n"/>
      <c r="F126" s="30" t="n"/>
      <c r="G126" s="30" t="n"/>
      <c r="H126" s="30">
        <f>IF(G126="","",VLOOKUP(G126,REFERENCIA!$A$1:$B$15,2,0))</f>
        <v/>
      </c>
      <c r="I126" s="30" t="n"/>
      <c r="J126" s="31" t="n"/>
      <c r="K126" s="40" t="n"/>
    </row>
    <row r="127">
      <c r="A127" s="29" t="n"/>
      <c r="B127" s="30" t="n"/>
      <c r="C127" s="31" t="n"/>
      <c r="D127" s="30" t="n"/>
      <c r="E127" s="30" t="n"/>
      <c r="F127" s="30" t="n"/>
      <c r="G127" s="30" t="n"/>
      <c r="H127" s="30">
        <f>IF(G127="","",VLOOKUP(G127,REFERENCIA!$A$1:$B$15,2,0))</f>
        <v/>
      </c>
      <c r="I127" s="30" t="n"/>
      <c r="J127" s="31" t="n"/>
      <c r="K127" s="40" t="n"/>
    </row>
    <row r="128">
      <c r="A128" s="29" t="n"/>
      <c r="B128" s="30" t="n"/>
      <c r="C128" s="31" t="n"/>
      <c r="D128" s="30" t="n"/>
      <c r="E128" s="30" t="n"/>
      <c r="F128" s="30" t="n"/>
      <c r="G128" s="30" t="n"/>
      <c r="H128" s="30">
        <f>IF(G128="","",VLOOKUP(G128,REFERENCIA!$A$1:$B$15,2,0))</f>
        <v/>
      </c>
      <c r="I128" s="30" t="n"/>
      <c r="J128" s="31" t="n"/>
      <c r="K128" s="40" t="n"/>
    </row>
    <row r="129">
      <c r="A129" s="29" t="n"/>
      <c r="B129" s="30" t="n"/>
      <c r="C129" s="31" t="n"/>
      <c r="D129" s="30" t="n"/>
      <c r="E129" s="30" t="n"/>
      <c r="F129" s="30" t="n"/>
      <c r="G129" s="30" t="n"/>
      <c r="H129" s="30">
        <f>IF(G129="","",VLOOKUP(G129,REFERENCIA!$A$1:$B$15,2,0))</f>
        <v/>
      </c>
      <c r="I129" s="30" t="n"/>
      <c r="J129" s="31" t="n"/>
      <c r="K129" s="40" t="n"/>
    </row>
    <row r="130" ht="15" customHeight="1" thickBot="1">
      <c r="A130" s="34" t="n"/>
      <c r="B130" s="5" t="n"/>
      <c r="C130" s="10" t="n"/>
      <c r="D130" s="5" t="n"/>
      <c r="E130" s="5" t="n"/>
      <c r="F130" s="5" t="n"/>
      <c r="G130" s="5" t="n"/>
      <c r="H130" s="5">
        <f>IF(G130="","",VLOOKUP(G130,REFERENCIA!$A$1:$B$15,2,0))</f>
        <v/>
      </c>
      <c r="I130" s="5" t="n"/>
      <c r="J130" s="10" t="n"/>
      <c r="K130" s="41" t="n"/>
    </row>
    <row r="131" ht="15" customHeight="1" thickBot="1">
      <c r="A131" s="35" t="n"/>
      <c r="B131" s="36" t="n"/>
      <c r="C131" s="37" t="n"/>
      <c r="D131" s="36" t="n"/>
      <c r="E131" s="36" t="n"/>
      <c r="F131" s="36" t="n"/>
      <c r="G131" s="36" t="n"/>
      <c r="H131" s="36">
        <f>IF(G131="","",VLOOKUP(G131,REFERENCIA!$A$1:$B$15,2,0))</f>
        <v/>
      </c>
      <c r="I131" s="36" t="n"/>
      <c r="J131" s="38" t="n"/>
      <c r="K131" s="42" t="n"/>
    </row>
    <row r="132" ht="24.9" customHeight="1">
      <c r="A132" s="6" t="n"/>
      <c r="B132" s="6" t="n"/>
      <c r="C132" s="8" t="n"/>
      <c r="D132" s="6" t="n"/>
      <c r="E132" s="6" t="n"/>
      <c r="F132" s="6" t="n"/>
      <c r="G132" s="6" t="n"/>
      <c r="H132" s="6">
        <f>IF(G132="","",VLOOKUP(G132,REFERENCIA!$A$1:$B$15,2,0))</f>
        <v/>
      </c>
      <c r="J132" s="46" t="inlineStr">
        <is>
          <t>TOTAL RECUPERADO</t>
        </is>
      </c>
      <c r="K132" s="43" t="n">
        <v>9444.799999999999</v>
      </c>
    </row>
    <row r="133" ht="25.3" customHeight="1" thickBot="1">
      <c r="A133" s="6" t="n"/>
      <c r="B133" s="6" t="n"/>
      <c r="C133" s="8" t="n"/>
      <c r="D133" s="6" t="n"/>
      <c r="E133" s="6" t="n"/>
      <c r="F133" s="6" t="n"/>
      <c r="G133" s="6" t="n"/>
      <c r="H133" s="6">
        <f>IF(G133="","",VLOOKUP(G133,REFERENCIA!$A$1:$B$15,2,0))</f>
        <v/>
      </c>
      <c r="J133" s="47" t="inlineStr">
        <is>
          <t>TOTAL COBRADO</t>
        </is>
      </c>
      <c r="K133" s="44" t="n">
        <v>19.83</v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  <row r="501">
      <c r="H501">
        <f>IF(G501="","",VLOOKUP(G501,REFERENCIA!$A$1:$B$15,2,0))</f>
        <v/>
      </c>
    </row>
  </sheetData>
  <conditionalFormatting sqref="B29">
    <cfRule type="duplicateValues" priority="1" dxfId="0"/>
    <cfRule type="duplicateValues" priority="2" dxfId="0"/>
  </conditionalFormatting>
  <conditionalFormatting sqref="B33 B35:B36">
    <cfRule type="duplicateValues" priority="3" dxfId="0"/>
    <cfRule type="duplicateValues" priority="4" dxfId="0"/>
  </conditionalFormatting>
  <conditionalFormatting sqref="B48:B50">
    <cfRule type="duplicateValues" priority="5" dxfId="0"/>
    <cfRule type="duplicateValues" priority="6" dxfId="0"/>
  </conditionalFormatting>
  <dataValidations count="1">
    <dataValidation sqref="B29:C29 B33:C33 B35:C36 B48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2026-06-03T18:34:35Z</dcterms:modified>
  <cp:lastModifiedBy>Admin</cp:lastModifiedBy>
</cp:coreProperties>
</file>