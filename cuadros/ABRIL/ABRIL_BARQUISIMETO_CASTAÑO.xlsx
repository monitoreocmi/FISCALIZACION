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ptos Display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/>
    </xf>
    <xf numFmtId="14" fontId="5" fillId="3" borderId="1" applyAlignment="1" pivotButton="0" quotePrefix="0" xfId="0">
      <alignment horizontal="center"/>
    </xf>
    <xf numFmtId="14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5" fillId="3" borderId="1" applyAlignment="1" pivotButton="0" quotePrefix="0" xfId="0">
      <alignment horizontal="center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workbookViewId="0">
      <selection activeCell="J34" sqref="J34"/>
    </sheetView>
  </sheetViews>
  <sheetFormatPr baseColWidth="10" defaultColWidth="8.69140625" defaultRowHeight="14.6"/>
  <cols>
    <col width="15" customWidth="1" min="1" max="1"/>
    <col width="41.61328125" customWidth="1" min="2" max="2"/>
    <col width="15" customWidth="1" min="3" max="4"/>
    <col width="20" customWidth="1" min="5" max="6"/>
    <col width="55" customWidth="1" min="7" max="7"/>
    <col width="15" customWidth="1" min="8" max="8"/>
    <col width="35" customWidth="1" min="9" max="9"/>
    <col width="12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CASTAÑO</t>
        </is>
      </c>
      <c r="B2" s="4" t="inlineStr">
        <is>
          <t>DICOSSETRA, C.A.</t>
        </is>
      </c>
      <c r="C2" s="13" t="n">
        <v>19556</v>
      </c>
      <c r="D2" s="16" t="n">
        <v>46113</v>
      </c>
      <c r="E2" s="18" t="inlineStr">
        <is>
          <t>RECEPCIÓN</t>
        </is>
      </c>
      <c r="F2" s="14" t="inlineStr">
        <is>
          <t xml:space="preserve">MARCOS GARCIA </t>
        </is>
      </c>
      <c r="G2" s="6" t="inlineStr">
        <is>
          <t>RECEPCIÓN SIN AUTORIZACIÓN DE CMF.</t>
        </is>
      </c>
      <c r="H2" s="6">
        <f>IF(G2="","",VLOOKUP(G2,REFERENCIA!$A$1:$B$15,2,0))</f>
        <v/>
      </c>
      <c r="I2" s="14" t="inlineStr">
        <is>
          <t>FISCALIZO SIN AUTORIZACION DE CMF</t>
        </is>
      </c>
      <c r="J2" s="13" t="n"/>
      <c r="K2" s="6" t="n"/>
    </row>
    <row r="3" ht="58.3" customHeight="1">
      <c r="A3" s="2" t="inlineStr">
        <is>
          <t>BARQUISIMETO</t>
        </is>
      </c>
      <c r="B3" s="4" t="inlineStr">
        <is>
          <t>INVERSIONES LAS PATRONAS 2024, C.A.</t>
        </is>
      </c>
      <c r="C3" s="14" t="n">
        <v>312</v>
      </c>
      <c r="D3" s="17" t="n">
        <v>46113</v>
      </c>
      <c r="E3" s="18" t="inlineStr">
        <is>
          <t>RECEPCIÓN</t>
        </is>
      </c>
      <c r="F3" s="2" t="inlineStr">
        <is>
          <t>REIDINSON MONTERO</t>
        </is>
      </c>
      <c r="G3" s="6" t="inlineStr">
        <is>
          <t>ERROR DE KG EN TARA.</t>
        </is>
      </c>
      <c r="H3" s="6">
        <f>IF(G3="","",VLOOKUP(G3,REFERENCIA!$A$1:$B$15,2,0))</f>
        <v/>
      </c>
      <c r="I3" s="14" t="inlineStr">
        <is>
          <t>ERROR AL COLOCAR EL PESO DE LA TARA EN EL AGUACATE, COLOCO 2.4 KG Y ERAN 2.5 KR LO QUE GENERO UNA FALTANTE DE 0.200 GER</t>
        </is>
      </c>
      <c r="J3" s="20" t="n">
        <v>0.74</v>
      </c>
      <c r="K3" s="6" t="n"/>
    </row>
    <row r="4" ht="58.3" customHeight="1">
      <c r="A4" s="2" t="inlineStr">
        <is>
          <t>CASTAÑO</t>
        </is>
      </c>
      <c r="B4" s="4" t="inlineStr">
        <is>
          <t>ADOLFO'S VICAR, C.A.</t>
        </is>
      </c>
      <c r="C4" s="14" t="n">
        <v>13340</v>
      </c>
      <c r="D4" s="17" t="n">
        <v>46113</v>
      </c>
      <c r="E4" s="18" t="inlineStr">
        <is>
          <t>RECEPCIÓN</t>
        </is>
      </c>
      <c r="F4" s="2" t="inlineStr">
        <is>
          <t>BARBARA ROMERO</t>
        </is>
      </c>
      <c r="G4" s="6" t="inlineStr">
        <is>
          <t>ERROR DE KG EN TARA.</t>
        </is>
      </c>
      <c r="H4" s="6">
        <f>IF(G4="","",VLOOKUP(G4,REFERENCIA!$A$1:$B$15,2,0))</f>
        <v/>
      </c>
      <c r="I4" s="14" t="inlineStr">
        <is>
          <t xml:space="preserve">ERROR AL COLOCAR LA TARA DEL CILANTRO,COLOCO  2.8 KG Y ERAN DE 2.6 KG LO QUE GENERO UNA FALTANTE DE 1.2 KG </t>
        </is>
      </c>
      <c r="J4" s="20" t="n">
        <v>1.8</v>
      </c>
      <c r="K4" s="6" t="n"/>
    </row>
    <row r="5" ht="58.3" customHeight="1">
      <c r="A5" s="2" t="inlineStr">
        <is>
          <t>BARQUISIMETO</t>
        </is>
      </c>
      <c r="B5" s="7" t="inlineStr">
        <is>
          <t>ADOLFO'S VICAR, C.A.</t>
        </is>
      </c>
      <c r="C5" s="14" t="n">
        <v>13334</v>
      </c>
      <c r="D5" s="17" t="n">
        <v>46113</v>
      </c>
      <c r="E5" s="18" t="inlineStr">
        <is>
          <t>RECEPCIÓN</t>
        </is>
      </c>
      <c r="F5" s="2" t="inlineStr">
        <is>
          <t>REIDINSON MONTERO</t>
        </is>
      </c>
      <c r="G5" s="6" t="inlineStr">
        <is>
          <t>ERROR DE KG EN TARA.</t>
        </is>
      </c>
      <c r="H5" s="6">
        <f>IF(G5="","",VLOOKUP(G5,REFERENCIA!$A$1:$B$15,2,0))</f>
        <v/>
      </c>
      <c r="I5" s="14" t="inlineStr">
        <is>
          <t xml:space="preserve">ERROR AL CARGAR LA TARA DEL CEDANO, SE COLOCARON 3 CESTAS DE 2.4 KG Y ERA 1 DE 2.4 KG LO QUE GENERO UNA DIFERENCIA DE 4.8 KG </t>
        </is>
      </c>
      <c r="J5" s="20" t="n">
        <v>4.77</v>
      </c>
      <c r="K5" s="6" t="n"/>
    </row>
    <row r="6">
      <c r="A6" s="2" t="inlineStr">
        <is>
          <t>BARQUISIMETO</t>
        </is>
      </c>
      <c r="B6" s="4" t="inlineStr">
        <is>
          <t>KC GLOBAL INT, C.A.</t>
        </is>
      </c>
      <c r="C6" s="14" t="n">
        <v>6325</v>
      </c>
      <c r="D6" s="17" t="n">
        <v>46114</v>
      </c>
      <c r="E6" s="18" t="inlineStr">
        <is>
          <t>RECEPCIÓN</t>
        </is>
      </c>
      <c r="F6" s="14" t="inlineStr">
        <is>
          <t>REIDINSON MONTERO</t>
        </is>
      </c>
      <c r="G6" s="6" t="inlineStr">
        <is>
          <t>DOCUMENTACIÓN ERRÓNEA</t>
        </is>
      </c>
      <c r="H6" s="6">
        <f>IF(G6="","",VLOOKUP(G6,REFERENCIA!$A$1:$B$15,2,0))</f>
        <v/>
      </c>
      <c r="I6" s="14" t="inlineStr">
        <is>
          <t xml:space="preserve">SKU ERRADOS </t>
        </is>
      </c>
      <c r="J6" s="14" t="n"/>
      <c r="K6" s="6" t="n"/>
    </row>
    <row r="7">
      <c r="A7" s="2" t="inlineStr">
        <is>
          <t>CASTAÑO</t>
        </is>
      </c>
      <c r="B7" s="4" t="inlineStr">
        <is>
          <t>PROMAPAL, S.A.</t>
        </is>
      </c>
      <c r="C7" s="14" t="n">
        <v>375103</v>
      </c>
      <c r="D7" s="17" t="n">
        <v>46114</v>
      </c>
      <c r="E7" s="18" t="inlineStr">
        <is>
          <t>RECEPCIÓN</t>
        </is>
      </c>
      <c r="F7" s="14" t="inlineStr">
        <is>
          <t xml:space="preserve">MARCOS GARCIA </t>
        </is>
      </c>
      <c r="G7" s="6" t="inlineStr">
        <is>
          <t>NÚMERO DE CONTROL O DOCUMENTO ERRÓNEO.</t>
        </is>
      </c>
      <c r="H7" s="6">
        <f>IF(G7="","",VLOOKUP(G7,REFERENCIA!$A$1:$B$15,2,0))</f>
        <v/>
      </c>
      <c r="I7" s="14" t="inlineStr">
        <is>
          <t>NRO DE CONTROL ERRADO</t>
        </is>
      </c>
      <c r="J7" s="14" t="n"/>
      <c r="K7" s="6" t="n"/>
    </row>
    <row r="8">
      <c r="A8" s="2" t="inlineStr">
        <is>
          <t>CASTAÑO</t>
        </is>
      </c>
      <c r="B8" s="4" t="inlineStr">
        <is>
          <t>FRUMIX, C.A.</t>
        </is>
      </c>
      <c r="C8" s="14" t="n">
        <v>26697</v>
      </c>
      <c r="D8" s="17" t="n">
        <v>46114</v>
      </c>
      <c r="E8" s="18" t="inlineStr">
        <is>
          <t>RECEPCIÓN</t>
        </is>
      </c>
      <c r="F8" s="14" t="inlineStr">
        <is>
          <t>DIEGO GUERRERO</t>
        </is>
      </c>
      <c r="G8" s="6" t="inlineStr">
        <is>
          <t>PRODUCTO O SKU DUPLICADO.</t>
        </is>
      </c>
      <c r="H8" s="6">
        <f>IF(G8="","",VLOOKUP(G8,REFERENCIA!$A$1:$B$15,2,0))</f>
        <v/>
      </c>
      <c r="I8" s="14" t="inlineStr">
        <is>
          <t>SKU DUPLICADO</t>
        </is>
      </c>
      <c r="J8" s="14" t="n"/>
      <c r="K8" s="6" t="n"/>
    </row>
    <row r="9">
      <c r="A9" s="2" t="inlineStr">
        <is>
          <t>CASTAÑO</t>
        </is>
      </c>
      <c r="B9" s="4" t="inlineStr">
        <is>
          <t>INVERSIONES LAS PATRONAS 2024, C.A.</t>
        </is>
      </c>
      <c r="C9" s="14" t="n">
        <v>388</v>
      </c>
      <c r="D9" s="17" t="n">
        <v>46114</v>
      </c>
      <c r="E9" s="18" t="inlineStr">
        <is>
          <t>RECEPCIÓN</t>
        </is>
      </c>
      <c r="F9" s="14" t="inlineStr">
        <is>
          <t>DIEGO GUERRERO</t>
        </is>
      </c>
      <c r="G9" s="6" t="inlineStr">
        <is>
          <t>NÚMERO DE CONTROL O DOCUMENTO ERRÓNEO.</t>
        </is>
      </c>
      <c r="H9" s="6">
        <f>IF(G9="","",VLOOKUP(G9,REFERENCIA!$A$1:$B$15,2,0))</f>
        <v/>
      </c>
      <c r="I9" s="14" t="inlineStr">
        <is>
          <t>NRO DE FACTURA Y CONTROL ERRADOS</t>
        </is>
      </c>
      <c r="J9" s="14" t="n"/>
      <c r="K9" s="6" t="n"/>
    </row>
    <row r="10" ht="43.75" customHeight="1">
      <c r="A10" s="2" t="inlineStr">
        <is>
          <t>BARQUISIMETO</t>
        </is>
      </c>
      <c r="B10" s="4" t="inlineStr">
        <is>
          <t>AGROPECUARIA LATIN FRUITS, C.A.</t>
        </is>
      </c>
      <c r="C10" s="14" t="n">
        <v>7041</v>
      </c>
      <c r="D10" s="17" t="n">
        <v>46115</v>
      </c>
      <c r="E10" s="18" t="inlineStr">
        <is>
          <t>RECEPCIÓN</t>
        </is>
      </c>
      <c r="F10" s="2" t="inlineStr">
        <is>
          <t>REIDINSON MONTERO</t>
        </is>
      </c>
      <c r="G10" s="6" t="inlineStr">
        <is>
          <t>NO SE INDICÓ DIFERENCIA AL DORSO DE LA FACTURA.</t>
        </is>
      </c>
      <c r="H10" s="6">
        <f>IF(G10="","",VLOOKUP(G10,REFERENCIA!$A$1:$B$15,2,0))</f>
        <v/>
      </c>
      <c r="I10" s="14" t="inlineStr">
        <is>
          <t xml:space="preserve">NO SE INDICO LA DIFERENCIA DEL PESAJE AL DORSO DE LA FACTURA 3.1 KG DE MANDARINA </t>
        </is>
      </c>
      <c r="J10" s="21" t="n">
        <v>18.55</v>
      </c>
      <c r="K10" s="24" t="n">
        <v>64731</v>
      </c>
    </row>
    <row r="11" ht="58.3" customHeight="1">
      <c r="A11" s="2" t="inlineStr">
        <is>
          <t>BARQUISIMETO</t>
        </is>
      </c>
      <c r="B11" s="4" t="inlineStr">
        <is>
          <t>AGROPECUARIA LATIN FRUITS, C.A.</t>
        </is>
      </c>
      <c r="C11" s="14" t="n">
        <v>6041</v>
      </c>
      <c r="D11" s="17" t="n">
        <v>46115</v>
      </c>
      <c r="E11" s="18" t="inlineStr">
        <is>
          <t>RECEPCIÓN</t>
        </is>
      </c>
      <c r="F11" s="2" t="inlineStr">
        <is>
          <t>REIDINSON MONTERO</t>
        </is>
      </c>
      <c r="G11" s="6" t="inlineStr">
        <is>
          <t>NO SE INDICÓ DIFERENCIA AL DORSO DE LA FACTURA.</t>
        </is>
      </c>
      <c r="H11" s="6">
        <f>IF(G11="","",VLOOKUP(G11,REFERENCIA!$A$1:$B$15,2,0))</f>
        <v/>
      </c>
      <c r="I11" s="14" t="inlineStr">
        <is>
          <t xml:space="preserve">FALTANTE DE 29 KG DE OCUMO CRIOLLO EN CUAL NO SE RECIBIO Y NO SE COLOCO LA NOTA AL DORSO DE FACTURA </t>
        </is>
      </c>
      <c r="J11" s="21" t="n">
        <v>51.04</v>
      </c>
      <c r="K11" s="24" t="n">
        <v>72434</v>
      </c>
    </row>
    <row r="12" ht="29.15" customHeight="1">
      <c r="A12" s="2" t="inlineStr">
        <is>
          <t>BARQUISIMETO</t>
        </is>
      </c>
      <c r="B12" s="8" t="inlineStr">
        <is>
          <t>RUBROS SANARE C2, C.A.</t>
        </is>
      </c>
      <c r="C12" s="14" t="n">
        <v>2305</v>
      </c>
      <c r="D12" s="17" t="n">
        <v>46118</v>
      </c>
      <c r="E12" s="18" t="inlineStr">
        <is>
          <t>RECEPCIÓN</t>
        </is>
      </c>
      <c r="F12" s="2" t="inlineStr">
        <is>
          <t xml:space="preserve">RUBER RAMOS </t>
        </is>
      </c>
      <c r="G12" s="6" t="inlineStr">
        <is>
          <t>DIFERENCIA ENTRE CANTIDAD FISCALIZADA Y DOCUMENTO.</t>
        </is>
      </c>
      <c r="H12" s="6">
        <f>IF(G12="","",VLOOKUP(G12,REFERENCIA!$A$1:$B$15,2,0))</f>
        <v/>
      </c>
      <c r="I12" s="14" t="inlineStr">
        <is>
          <t>DIFRENCIA ENTRE CANTIDAD FISCALIZADA Y DOCUMENTO</t>
        </is>
      </c>
      <c r="J12" s="14" t="n"/>
      <c r="K12" s="6" t="n"/>
    </row>
    <row r="13">
      <c r="A13" s="2" t="inlineStr">
        <is>
          <t>CASTAÑO</t>
        </is>
      </c>
      <c r="B13" s="8" t="inlineStr">
        <is>
          <t>SAPORI, C.A.</t>
        </is>
      </c>
      <c r="C13" s="14" t="n">
        <v>36552</v>
      </c>
      <c r="D13" s="17" t="n">
        <v>46119</v>
      </c>
      <c r="E13" s="18" t="inlineStr">
        <is>
          <t>RECEPCIÓN</t>
        </is>
      </c>
      <c r="F13" s="14" t="inlineStr">
        <is>
          <t xml:space="preserve">FERNANDO CABRERA </t>
        </is>
      </c>
      <c r="G13" s="6" t="inlineStr">
        <is>
          <t>PRODUCTO O SKU NO PERTENECE A LA RECEPCIÓN.</t>
        </is>
      </c>
      <c r="H13" s="6">
        <f>IF(G13="","",VLOOKUP(G13,REFERENCIA!$A$1:$B$15,2,0))</f>
        <v/>
      </c>
      <c r="I13" s="14" t="inlineStr">
        <is>
          <t>SKU NO PERTENECE A LA RECEPCION</t>
        </is>
      </c>
      <c r="J13" s="14" t="n"/>
      <c r="K13" s="6" t="n"/>
    </row>
    <row r="14">
      <c r="A14" s="2" t="inlineStr">
        <is>
          <t>BARQUISIMETO</t>
        </is>
      </c>
      <c r="B14" s="7" t="inlineStr">
        <is>
          <t>GADUCA, C.A.</t>
        </is>
      </c>
      <c r="C14" s="14" t="inlineStr">
        <is>
          <t>U-0000599</t>
        </is>
      </c>
      <c r="D14" s="17" t="n">
        <v>46120</v>
      </c>
      <c r="E14" s="18" t="inlineStr">
        <is>
          <t>RECEPCIÓN</t>
        </is>
      </c>
      <c r="F14" s="14" t="inlineStr">
        <is>
          <t xml:space="preserve">RUBER RAMOS </t>
        </is>
      </c>
      <c r="G14" s="6" t="inlineStr">
        <is>
          <t>NÚMERO DE CONTROL O DOCUMENTO ERRÓNEO.</t>
        </is>
      </c>
      <c r="H14" s="6">
        <f>IF(G14="","",VLOOKUP(G14,REFERENCIA!$A$1:$B$15,2,0))</f>
        <v/>
      </c>
      <c r="I14" s="14" t="inlineStr">
        <is>
          <t>NRO DE CONTROL ERRONEO</t>
        </is>
      </c>
      <c r="J14" s="14" t="n"/>
      <c r="K14" s="6" t="n"/>
    </row>
    <row r="15" ht="43.75" customHeight="1">
      <c r="A15" s="2" t="inlineStr">
        <is>
          <t>CASTAÑO</t>
        </is>
      </c>
      <c r="B15" s="4" t="inlineStr">
        <is>
          <t>INVERSIONES LAS PATRONAS 2024, C.A.</t>
        </is>
      </c>
      <c r="C15" s="14" t="n">
        <v>506</v>
      </c>
      <c r="D15" s="17" t="n">
        <v>46125</v>
      </c>
      <c r="E15" s="18" t="inlineStr">
        <is>
          <t>RECEPCIÓN</t>
        </is>
      </c>
      <c r="F15" s="2" t="inlineStr">
        <is>
          <t>EMISAELQUERALES</t>
        </is>
      </c>
      <c r="G15" s="6" t="inlineStr">
        <is>
          <t>DIFERENCIA ENTRE CANTIDAD FISCALIZADA Y DOCUMENTO.</t>
        </is>
      </c>
      <c r="H15" s="6">
        <f>IF(G15="","",VLOOKUP(G15,REFERENCIA!$A$1:$B$15,2,0))</f>
        <v/>
      </c>
      <c r="I15" s="14" t="inlineStr">
        <is>
          <t>FALTANTE DE 2.8 KG DE PARCHITA , SE RECIBIERON 41 KG Y EN FACTURA COLOCARON 43,8 KG</t>
        </is>
      </c>
      <c r="J15" s="21" t="n">
        <v>6.43</v>
      </c>
      <c r="K15" s="24" t="n">
        <v>20392</v>
      </c>
    </row>
    <row r="16">
      <c r="A16" s="2" t="inlineStr">
        <is>
          <t>CASTAÑO</t>
        </is>
      </c>
      <c r="B16" s="8" t="inlineStr">
        <is>
          <t>GENERAL DE ALIMENTOS NISA, C.A.</t>
        </is>
      </c>
      <c r="C16" s="14" t="n">
        <v>16034676</v>
      </c>
      <c r="D16" s="17" t="n">
        <v>46126</v>
      </c>
      <c r="E16" s="18" t="inlineStr">
        <is>
          <t>RECEPCIÓN</t>
        </is>
      </c>
      <c r="F16" s="14" t="inlineStr">
        <is>
          <t xml:space="preserve">FERNANDO CABRERA </t>
        </is>
      </c>
      <c r="G16" s="6" t="inlineStr">
        <is>
          <t>RECEPCIÓN SIN AUTORIZACIÓN DE CMF.</t>
        </is>
      </c>
      <c r="H16" s="6">
        <f>IF(G16="","",VLOOKUP(G16,REFERENCIA!$A$1:$B$15,2,0))</f>
        <v/>
      </c>
      <c r="I16" s="14" t="inlineStr">
        <is>
          <t>FISCALIZO SIN AUTORIZACION DE CMF</t>
        </is>
      </c>
      <c r="J16" s="14" t="n"/>
      <c r="K16" s="6" t="n"/>
    </row>
    <row r="17" ht="29.15" customHeight="1">
      <c r="A17" s="2" t="inlineStr">
        <is>
          <t>CASTAÑO</t>
        </is>
      </c>
      <c r="B17" s="4" t="inlineStr">
        <is>
          <t xml:space="preserve">CAVA LUXOR </t>
        </is>
      </c>
      <c r="C17" s="14" t="n"/>
      <c r="D17" s="16" t="n">
        <v>46127</v>
      </c>
      <c r="E17" s="19" t="inlineStr">
        <is>
          <t>RECEPCIÓN</t>
        </is>
      </c>
      <c r="F17" s="2" t="inlineStr">
        <is>
          <t xml:space="preserve">FERNANDO CABRERA </t>
        </is>
      </c>
      <c r="G17" s="6" t="inlineStr">
        <is>
          <t>DOCUMENTO NO LEGIBLE</t>
        </is>
      </c>
      <c r="H17" s="6">
        <f>IF(G17="","",VLOOKUP(G17,REFERENCIA!$A$1:$B$15,2,0))</f>
        <v/>
      </c>
      <c r="I17" s="14" t="inlineStr">
        <is>
          <t>DOUMENTO NO LEGIBLE, NO SE APRECIA EL NR DE DOCUMENTO</t>
        </is>
      </c>
      <c r="J17" s="14" t="n"/>
      <c r="K17" s="6" t="n"/>
    </row>
    <row r="18">
      <c r="A18" s="2" t="inlineStr">
        <is>
          <t>BARQUISIMETO</t>
        </is>
      </c>
      <c r="B18" s="4" t="inlineStr">
        <is>
          <t>DISTRIBUIDORA PARADIS FRESH, C.A.</t>
        </is>
      </c>
      <c r="C18" s="14" t="n">
        <v>23748</v>
      </c>
      <c r="D18" s="16" t="n">
        <v>46128</v>
      </c>
      <c r="E18" s="19" t="inlineStr">
        <is>
          <t>RECEPCIÓN</t>
        </is>
      </c>
      <c r="F18" s="14" t="inlineStr">
        <is>
          <t>REIDINSON MONTERO</t>
        </is>
      </c>
      <c r="G18" s="6" t="inlineStr">
        <is>
          <t>PRODUCTO O SKU DUPLICADO.</t>
        </is>
      </c>
      <c r="H18" s="6">
        <f>IF(G18="","",VLOOKUP(G18,REFERENCIA!$A$1:$B$15,2,0))</f>
        <v/>
      </c>
      <c r="I18" s="14" t="inlineStr">
        <is>
          <t>SKU DUPLICADO</t>
        </is>
      </c>
      <c r="J18" s="14" t="n"/>
      <c r="K18" s="6" t="n"/>
    </row>
    <row r="19">
      <c r="A19" s="2" t="inlineStr">
        <is>
          <t>BARQUISIMETO</t>
        </is>
      </c>
      <c r="B19" s="8" t="inlineStr">
        <is>
          <t>CORPORACION R3, C.A.</t>
        </is>
      </c>
      <c r="C19" s="14" t="inlineStr">
        <is>
          <t>4W-B4CC4FD371</t>
        </is>
      </c>
      <c r="D19" s="16" t="n">
        <v>46129</v>
      </c>
      <c r="E19" s="19" t="inlineStr">
        <is>
          <t>RECEPCIÓN</t>
        </is>
      </c>
      <c r="F19" s="14" t="inlineStr">
        <is>
          <t>REIDINSON MONTERO</t>
        </is>
      </c>
      <c r="G19" s="6" t="inlineStr">
        <is>
          <t>NÚMERO DE CONTROL O DOCUMENTO ERRÓNEO.</t>
        </is>
      </c>
      <c r="H19" s="6">
        <f>IF(G19="","",VLOOKUP(G19,REFERENCIA!$A$1:$B$15,2,0))</f>
        <v/>
      </c>
      <c r="I19" s="14" t="inlineStr">
        <is>
          <t>NRO DE CONTROL ERRONEO</t>
        </is>
      </c>
      <c r="J19" s="14" t="n"/>
      <c r="K19" s="6" t="n"/>
    </row>
    <row r="20">
      <c r="A20" s="2" t="inlineStr">
        <is>
          <t>BARQUISIMETO</t>
        </is>
      </c>
      <c r="B20" s="4" t="inlineStr">
        <is>
          <t>CORPORACION R3, C.A.</t>
        </is>
      </c>
      <c r="C20" s="14" t="inlineStr">
        <is>
          <t>4W-1DB93405B0</t>
        </is>
      </c>
      <c r="D20" s="16" t="n">
        <v>46129</v>
      </c>
      <c r="E20" s="19" t="inlineStr">
        <is>
          <t>RECEPCIÓN</t>
        </is>
      </c>
      <c r="F20" s="14" t="inlineStr">
        <is>
          <t>REIDINSON MONTERO</t>
        </is>
      </c>
      <c r="G20" s="6" t="inlineStr">
        <is>
          <t>NÚMERO DE CONTROL O DOCUMENTO ERRÓNEO.</t>
        </is>
      </c>
      <c r="H20" s="6">
        <f>IF(G20="","",VLOOKUP(G20,REFERENCIA!$A$1:$B$15,2,0))</f>
        <v/>
      </c>
      <c r="I20" s="14" t="inlineStr">
        <is>
          <t>NRO DE CONTROL ERRONEO</t>
        </is>
      </c>
      <c r="J20" s="14" t="n"/>
      <c r="K20" s="6" t="n"/>
    </row>
    <row r="21" ht="58.3" customHeight="1">
      <c r="A21" s="2" t="inlineStr">
        <is>
          <t>BARQUISIMETO</t>
        </is>
      </c>
      <c r="B21" s="4" t="inlineStr">
        <is>
          <t>ADOLFO'S VICAR, C.A.</t>
        </is>
      </c>
      <c r="C21" s="14" t="n">
        <v>13443</v>
      </c>
      <c r="D21" s="16" t="n">
        <v>46129</v>
      </c>
      <c r="E21" s="19" t="inlineStr">
        <is>
          <t>RECEPCIÓN</t>
        </is>
      </c>
      <c r="F21" s="2" t="inlineStr">
        <is>
          <t>REIDINSON MONTERO</t>
        </is>
      </c>
      <c r="G21" s="6" t="inlineStr">
        <is>
          <t>DIFERENCIA ENTRE CANTIDAD FISCALIZADA Y DOCUMENTO.</t>
        </is>
      </c>
      <c r="H21" s="6">
        <f>IF(G21="","",VLOOKUP(G21,REFERENCIA!$A$1:$B$15,2,0))</f>
        <v/>
      </c>
      <c r="I21" s="14" t="inlineStr">
        <is>
          <t xml:space="preserve">ERROR AL RESTAR LA TARA DEL BROCOLI  FUERON 2 CESTAS Y RESTARON 1 SOLA LO CUAL GENERO UN FALTANTE DE 2.4 KG DE BROCOLI </t>
        </is>
      </c>
      <c r="J21" s="21" t="n">
        <v>10.01</v>
      </c>
      <c r="K21" s="24" t="n">
        <v>175758</v>
      </c>
    </row>
    <row r="22">
      <c r="A22" s="2" t="inlineStr">
        <is>
          <t>BARQUISIMETO</t>
        </is>
      </c>
      <c r="B22" s="4" t="inlineStr">
        <is>
          <t>GALLETERA TRIGO DE ORO, C.A.</t>
        </is>
      </c>
      <c r="C22" s="14" t="n">
        <v>51655</v>
      </c>
      <c r="D22" s="16" t="n">
        <v>46129</v>
      </c>
      <c r="E22" s="19" t="inlineStr">
        <is>
          <t>RECEPCIÓN</t>
        </is>
      </c>
      <c r="F22" s="14" t="inlineStr">
        <is>
          <t>REIDINSON MONTERO</t>
        </is>
      </c>
      <c r="G22" s="6" t="inlineStr">
        <is>
          <t>PRODUCTO O SKU NO PERTENECE A LA RECEPCIÓN.</t>
        </is>
      </c>
      <c r="H22" s="6">
        <f>IF(G22="","",VLOOKUP(G22,REFERENCIA!$A$1:$B$15,2,0))</f>
        <v/>
      </c>
      <c r="I22" s="14" t="inlineStr">
        <is>
          <t xml:space="preserve">SKU ERRADOS </t>
        </is>
      </c>
      <c r="J22" s="14" t="n"/>
      <c r="K22" s="6" t="n"/>
    </row>
    <row r="23" ht="29.15" customHeight="1">
      <c r="A23" s="3" t="inlineStr">
        <is>
          <t>CASTAÑO</t>
        </is>
      </c>
      <c r="B23" s="9" t="inlineStr">
        <is>
          <t>ALIMENTOS VENEZOLANOS S&amp;M ALIVENSA, S.A.</t>
        </is>
      </c>
      <c r="C23" s="14" t="n">
        <v>36462</v>
      </c>
      <c r="D23" s="16" t="n">
        <v>46132</v>
      </c>
      <c r="E23" s="19" t="inlineStr">
        <is>
          <t>RECEPCIÓN</t>
        </is>
      </c>
      <c r="F23" s="2" t="inlineStr">
        <is>
          <t xml:space="preserve">NEYDI JASPE </t>
        </is>
      </c>
      <c r="G23" s="6" t="inlineStr">
        <is>
          <t>NÚMERO DE CONTROL O DOCUMENTO ERRÓNEO.</t>
        </is>
      </c>
      <c r="H23" s="6">
        <f>IF(G23="","",VLOOKUP(G23,REFERENCIA!$A$1:$B$15,2,0))</f>
        <v/>
      </c>
      <c r="I23" s="14" t="inlineStr">
        <is>
          <t>NRO DE CONTROL Y DE FACTURA ERRADO</t>
        </is>
      </c>
      <c r="J23" s="14" t="n"/>
      <c r="K23" s="6" t="n"/>
    </row>
    <row r="24" ht="116.6" customHeight="1">
      <c r="A24" s="3" t="inlineStr">
        <is>
          <t>BARQUISIMETO</t>
        </is>
      </c>
      <c r="B24" s="9" t="inlineStr">
        <is>
          <t>PASTAS CAPRI, C.A.</t>
        </is>
      </c>
      <c r="C24" s="2" t="n">
        <v>418138</v>
      </c>
      <c r="D24" s="16" t="n">
        <v>46132</v>
      </c>
      <c r="E24" s="19" t="inlineStr">
        <is>
          <t>RECEPCIÓN</t>
        </is>
      </c>
      <c r="F24" s="2" t="inlineStr">
        <is>
          <t xml:space="preserve">RUBER RAMOS </t>
        </is>
      </c>
      <c r="G24" s="6" t="inlineStr">
        <is>
          <t>PRODUCTO O SKU NO PERTENECE A LA RECEPCIÓN.</t>
        </is>
      </c>
      <c r="H24" s="6">
        <f>IF(G24="","",VLOOKUP(G24,REFERENCIA!$A$1:$B$15,2,0))</f>
        <v/>
      </c>
      <c r="I24" s="14" t="inlineStr">
        <is>
          <t xml:space="preserve">POR ERROR DEL SUB-GERENTE RUBER RAMOS SE RECIBIERON 2 BULTOS DE PASTA PREMIUN DEDAL 1 KG Y LA MERCANCIA CORRECTA ERAN 2 BULTOS DE PASTA EXTRA ESPECIAL DEDAL 1 KG , SE REALIZA EL CAMBIO BAJO AUTORIZACION DE LA GERENCIA CORPORATIVA </t>
        </is>
      </c>
      <c r="J24" s="14" t="n"/>
      <c r="K24" s="6" t="n"/>
    </row>
    <row r="25">
      <c r="A25" s="2" t="inlineStr">
        <is>
          <t>BARQUISIMETO</t>
        </is>
      </c>
      <c r="B25" s="8" t="inlineStr">
        <is>
          <t>INVERSIONES LACTEAS SAN SIMON, C.A.</t>
        </is>
      </c>
      <c r="C25" s="14" t="n">
        <v>3886</v>
      </c>
      <c r="D25" s="16" t="n">
        <v>46133</v>
      </c>
      <c r="E25" s="19" t="inlineStr">
        <is>
          <t>RECEPCIÓN</t>
        </is>
      </c>
      <c r="F25" s="14" t="inlineStr">
        <is>
          <t xml:space="preserve">RUBER RAMOS </t>
        </is>
      </c>
      <c r="G25" s="6" t="inlineStr">
        <is>
          <t>NÚMERO DE CONTROL O DOCUMENTO ERRÓNEO.</t>
        </is>
      </c>
      <c r="H25" s="6">
        <f>IF(G25="","",VLOOKUP(G25,REFERENCIA!$A$1:$B$15,2,0))</f>
        <v/>
      </c>
      <c r="I25" s="14" t="inlineStr">
        <is>
          <t>NRO DE CONTROL ERRADO</t>
        </is>
      </c>
      <c r="J25" s="14" t="n"/>
      <c r="K25" s="6" t="n"/>
    </row>
    <row r="26">
      <c r="A26" s="2" t="inlineStr">
        <is>
          <t>CASTAÑO</t>
        </is>
      </c>
      <c r="B26" s="4" t="inlineStr">
        <is>
          <t>ALIMENTOS POLAR COMERCIAL, C.A.</t>
        </is>
      </c>
      <c r="C26" s="14" t="n">
        <v>7242083206</v>
      </c>
      <c r="D26" s="16" t="n">
        <v>46133</v>
      </c>
      <c r="E26" s="19" t="inlineStr">
        <is>
          <t>RECEPCIÓN</t>
        </is>
      </c>
      <c r="F26" s="14" t="inlineStr">
        <is>
          <t xml:space="preserve">NEYDI JASPE </t>
        </is>
      </c>
      <c r="G26" s="6" t="inlineStr">
        <is>
          <t>FALTA SELLO, FIRMA O CÉDULA.</t>
        </is>
      </c>
      <c r="H26" s="6">
        <f>IF(G26="","",VLOOKUP(G26,REFERENCIA!$A$1:$B$15,2,0))</f>
        <v/>
      </c>
      <c r="I26" s="14" t="inlineStr">
        <is>
          <t>FALTO SELLO DE LA SUCURSAL</t>
        </is>
      </c>
      <c r="J26" s="14" t="n"/>
      <c r="K26" s="6" t="n"/>
    </row>
    <row r="27">
      <c r="A27" s="3" t="inlineStr">
        <is>
          <t>CASTAÑO</t>
        </is>
      </c>
      <c r="B27" s="9" t="inlineStr">
        <is>
          <t>COMERCIALIZADORA LA CIMA, C.A.</t>
        </is>
      </c>
      <c r="C27" s="14" t="n">
        <v>3281</v>
      </c>
      <c r="D27" s="16" t="n">
        <v>46134</v>
      </c>
      <c r="E27" s="19" t="inlineStr">
        <is>
          <t>RECEPCIÓN</t>
        </is>
      </c>
      <c r="F27" s="14" t="inlineStr">
        <is>
          <t xml:space="preserve">NEYDI JASPE </t>
        </is>
      </c>
      <c r="G27" s="6" t="inlineStr">
        <is>
          <t>NÚMERO DE CONTROL O DOCUMENTO ERRÓNEO.</t>
        </is>
      </c>
      <c r="H27" s="6">
        <f>IF(G27="","",VLOOKUP(G27,REFERENCIA!$A$1:$B$15,2,0))</f>
        <v/>
      </c>
      <c r="I27" s="14" t="inlineStr">
        <is>
          <t>NRO DE FACTURA ERRADO</t>
        </is>
      </c>
      <c r="J27" s="14" t="n"/>
      <c r="K27" s="6" t="n"/>
    </row>
    <row r="28">
      <c r="A28" s="2" t="inlineStr">
        <is>
          <t>CASTAÑO</t>
        </is>
      </c>
      <c r="B28" s="7" t="inlineStr">
        <is>
          <t>MUSACEUM, C.A.</t>
        </is>
      </c>
      <c r="C28" s="14" t="inlineStr">
        <is>
          <t>00-00004817</t>
        </is>
      </c>
      <c r="D28" s="16" t="n">
        <v>46134</v>
      </c>
      <c r="E28" s="19" t="inlineStr">
        <is>
          <t>RECEPCIÓN</t>
        </is>
      </c>
      <c r="F28" s="14" t="inlineStr">
        <is>
          <t xml:space="preserve">NEYDI JASPE </t>
        </is>
      </c>
      <c r="G28" s="6" t="inlineStr">
        <is>
          <t>NÚMERO DE CONTROL O DOCUMENTO ERRÓNEO.</t>
        </is>
      </c>
      <c r="H28" s="6">
        <f>IF(G28="","",VLOOKUP(G28,REFERENCIA!$A$1:$B$15,2,0))</f>
        <v/>
      </c>
      <c r="I28" s="14" t="inlineStr">
        <is>
          <t>NRO DE CONTROL ERRADO</t>
        </is>
      </c>
      <c r="J28" s="14" t="n"/>
      <c r="K28" s="6" t="n"/>
    </row>
    <row r="29">
      <c r="A29" s="2" t="inlineStr">
        <is>
          <t>BARQUISIMETO</t>
        </is>
      </c>
      <c r="B29" s="8" t="inlineStr">
        <is>
          <t>CERVECERIA POLAR, C.A.</t>
        </is>
      </c>
      <c r="C29" s="14" t="n">
        <v>1630087024</v>
      </c>
      <c r="D29" s="16" t="n">
        <v>46134</v>
      </c>
      <c r="E29" s="19" t="inlineStr">
        <is>
          <t>RECEPCIÓN</t>
        </is>
      </c>
      <c r="F29" s="14" t="inlineStr">
        <is>
          <t xml:space="preserve">RUBER RAMOS </t>
        </is>
      </c>
      <c r="G29" s="6" t="inlineStr">
        <is>
          <t>NÚMERO DE CONTROL O DOCUMENTO ERRÓNEO.</t>
        </is>
      </c>
      <c r="H29" s="6">
        <f>IF(G29="","",VLOOKUP(G29,REFERENCIA!$A$1:$B$15,2,0))</f>
        <v/>
      </c>
      <c r="I29" s="14" t="inlineStr">
        <is>
          <t>NRO DE FACTURA ERRADO</t>
        </is>
      </c>
      <c r="J29" s="14" t="n"/>
      <c r="K29" s="6" t="n"/>
    </row>
    <row r="30">
      <c r="A30" s="2" t="inlineStr">
        <is>
          <t>CASTAÑO</t>
        </is>
      </c>
      <c r="B30" s="9" t="inlineStr">
        <is>
          <t>KC GLOBAL INT, C.A.</t>
        </is>
      </c>
      <c r="C30" s="14" t="n">
        <v>6403</v>
      </c>
      <c r="D30" s="16" t="n">
        <v>46135</v>
      </c>
      <c r="E30" s="19" t="inlineStr">
        <is>
          <t>RECEPCIÓN</t>
        </is>
      </c>
      <c r="F30" s="14" t="inlineStr">
        <is>
          <t xml:space="preserve">NEYDI JASPE </t>
        </is>
      </c>
      <c r="G30" s="6" t="inlineStr">
        <is>
          <t>PRODUCTO O SKU DUPLICADO.</t>
        </is>
      </c>
      <c r="H30" s="6">
        <f>IF(G30="","",VLOOKUP(G30,REFERENCIA!$A$1:$B$15,2,0))</f>
        <v/>
      </c>
      <c r="I30" s="14" t="inlineStr">
        <is>
          <t>SKU DUPLICADO</t>
        </is>
      </c>
      <c r="J30" s="14" t="n"/>
      <c r="K30" s="6" t="n"/>
    </row>
    <row r="31">
      <c r="A31" s="2" t="inlineStr">
        <is>
          <t>CASTAÑO</t>
        </is>
      </c>
      <c r="B31" s="4" t="inlineStr">
        <is>
          <t>MUSACEUM, C.A.</t>
        </is>
      </c>
      <c r="C31" s="14" t="n">
        <v>4032</v>
      </c>
      <c r="D31" s="16" t="n">
        <v>46135</v>
      </c>
      <c r="E31" s="19" t="inlineStr">
        <is>
          <t>RECEPCIÓN</t>
        </is>
      </c>
      <c r="F31" s="14" t="inlineStr">
        <is>
          <t>BARBARA ROMERO</t>
        </is>
      </c>
      <c r="G31" s="6" t="inlineStr">
        <is>
          <t>RECEPCIÓN SIN AUTORIZACIÓN DE CMF.</t>
        </is>
      </c>
      <c r="H31" s="6">
        <f>IF(G31="","",VLOOKUP(G31,REFERENCIA!$A$1:$B$15,2,0))</f>
        <v/>
      </c>
      <c r="I31" s="13" t="inlineStr">
        <is>
          <t>RECEPCION SIN AUTORIZACION DE CMF</t>
        </is>
      </c>
      <c r="J31" s="22" t="n"/>
      <c r="K31" s="6" t="n"/>
    </row>
    <row r="32">
      <c r="A32" s="4" t="inlineStr">
        <is>
          <t>CASTAÑO</t>
        </is>
      </c>
      <c r="B32" s="4" t="inlineStr">
        <is>
          <t>GADUCA, C.A.</t>
        </is>
      </c>
      <c r="C32" s="4" t="n">
        <v>118171</v>
      </c>
      <c r="D32" s="16" t="n">
        <v>46135</v>
      </c>
      <c r="E32" s="19" t="inlineStr">
        <is>
          <t>RECEPCIÓN</t>
        </is>
      </c>
      <c r="F32" s="4" t="inlineStr">
        <is>
          <t xml:space="preserve">MARCOS GARCIA </t>
        </is>
      </c>
      <c r="G32" s="6" t="inlineStr">
        <is>
          <t>RECEPCIÓN SIN AUTORIZACIÓN DE CMF.</t>
        </is>
      </c>
      <c r="H32" s="6">
        <f>IF(G32="","",VLOOKUP(G32,REFERENCIA!$A$1:$B$15,2,0))</f>
        <v/>
      </c>
      <c r="I32" s="4" t="inlineStr">
        <is>
          <t>RECEPCION SIN AUTORIZACION DE CMF</t>
        </is>
      </c>
      <c r="J32" s="4" t="n"/>
      <c r="K32" s="6" t="n"/>
    </row>
    <row r="33">
      <c r="A33" s="2" t="inlineStr">
        <is>
          <t>CASTAÑO</t>
        </is>
      </c>
      <c r="B33" s="10" t="inlineStr">
        <is>
          <t>CORPORACION JSL, C.A.</t>
        </is>
      </c>
      <c r="C33" s="14" t="n">
        <v>40096605</v>
      </c>
      <c r="D33" s="16" t="n">
        <v>46136</v>
      </c>
      <c r="E33" s="19" t="inlineStr">
        <is>
          <t>RECEPCIÓN</t>
        </is>
      </c>
      <c r="F33" s="14" t="inlineStr">
        <is>
          <t xml:space="preserve">NEYDI JASPE </t>
        </is>
      </c>
      <c r="G33" s="6" t="inlineStr">
        <is>
          <t>NÚMERO DE CONTROL O DOCUMENTO ERRÓNEO.</t>
        </is>
      </c>
      <c r="H33" s="6">
        <f>IF(G33="","",VLOOKUP(G33,REFERENCIA!$A$1:$B$15,2,0))</f>
        <v/>
      </c>
      <c r="I33" s="14" t="inlineStr">
        <is>
          <t>NRO DE CONTRO0L ERRADO</t>
        </is>
      </c>
      <c r="J33" s="14" t="n"/>
      <c r="K33" s="6" t="n"/>
    </row>
    <row r="34" ht="29.15" customHeight="1">
      <c r="A34" s="24" t="inlineStr">
        <is>
          <t>CASTAÑO</t>
        </is>
      </c>
      <c r="B34" s="24" t="inlineStr">
        <is>
          <t xml:space="preserve">CAVA LUXOR </t>
        </is>
      </c>
      <c r="C34" s="24" t="n">
        <v>5452</v>
      </c>
      <c r="D34" s="16" t="n">
        <v>46136</v>
      </c>
      <c r="E34" s="19" t="inlineStr">
        <is>
          <t>RECEPCIÓN</t>
        </is>
      </c>
      <c r="F34" s="24" t="inlineStr">
        <is>
          <t xml:space="preserve">MARCOS GARCIA </t>
        </is>
      </c>
      <c r="G34" s="6" t="inlineStr">
        <is>
          <t>NO SE COMPLETA EL PROCESO DE FISCALIZACION Y SE ELIMINA.</t>
        </is>
      </c>
      <c r="H34" s="6">
        <f>IF(G34="","",VLOOKUP(G34,REFERENCIA!$A$1:$B$15,2,0))</f>
        <v/>
      </c>
      <c r="I34" s="14" t="inlineStr">
        <is>
          <t xml:space="preserve">SE ELIMINO LA RECEPCION POR DEJARLAE EN ESTADO DE LIBERADA </t>
        </is>
      </c>
      <c r="J34" s="24" t="inlineStr">
        <is>
          <t>1.126.38</t>
        </is>
      </c>
      <c r="K34" s="6" t="n"/>
    </row>
    <row r="35">
      <c r="A35" s="2" t="inlineStr">
        <is>
          <t>CASTAÑO</t>
        </is>
      </c>
      <c r="B35" s="11" t="inlineStr">
        <is>
          <t>MUSACEUM, C.A.</t>
        </is>
      </c>
      <c r="C35" s="4" t="n">
        <v>4075</v>
      </c>
      <c r="D35" s="16" t="n">
        <v>46137</v>
      </c>
      <c r="E35" s="19" t="inlineStr">
        <is>
          <t>RECEPCIÓN</t>
        </is>
      </c>
      <c r="F35" s="14" t="inlineStr">
        <is>
          <t xml:space="preserve">MARCOS GARCIA </t>
        </is>
      </c>
      <c r="G35" s="6" t="inlineStr">
        <is>
          <t>NÚMERO DE CONTROL O DOCUMENTO ERRÓNEO.</t>
        </is>
      </c>
      <c r="H35" s="6">
        <f>IF(G35="","",VLOOKUP(G35,REFERENCIA!$A$1:$B$15,2,0))</f>
        <v/>
      </c>
      <c r="I35" s="14" t="inlineStr">
        <is>
          <t>NRO DE CONTROL ERRADO</t>
        </is>
      </c>
      <c r="J35" s="6" t="n"/>
      <c r="K35" s="6" t="n"/>
    </row>
    <row r="36">
      <c r="A36" s="2" t="inlineStr">
        <is>
          <t>BARQUISIMETO</t>
        </is>
      </c>
      <c r="B36" s="12" t="inlineStr">
        <is>
          <t>INVERSIONES LAS PATRONAS 2024, C.A.</t>
        </is>
      </c>
      <c r="C36" s="14" t="n">
        <v>344</v>
      </c>
      <c r="D36" s="16" t="n">
        <v>46137</v>
      </c>
      <c r="E36" s="19" t="inlineStr">
        <is>
          <t>RECEPCIÓN</t>
        </is>
      </c>
      <c r="F36" s="14" t="inlineStr">
        <is>
          <t>REIDINSON MONTERO</t>
        </is>
      </c>
      <c r="G36" s="6" t="inlineStr">
        <is>
          <t>FALTA SELLO, FIRMA O CÉDULA.</t>
        </is>
      </c>
      <c r="H36" s="6">
        <f>IF(G36="","",VLOOKUP(G36,REFERENCIA!$A$1:$B$15,2,0))</f>
        <v/>
      </c>
      <c r="I36" s="14" t="inlineStr">
        <is>
          <t>FALTO SELLO DE LA SUCURAL</t>
        </is>
      </c>
      <c r="J36" s="6" t="n"/>
      <c r="K36" s="6" t="n"/>
    </row>
    <row r="37">
      <c r="A37" s="2" t="inlineStr">
        <is>
          <t>BARQUISIMETO</t>
        </is>
      </c>
      <c r="B37" s="24" t="inlineStr">
        <is>
          <t>INVERSIONES LAS PATRONAS 2024, C.A.</t>
        </is>
      </c>
      <c r="C37" s="15" t="n">
        <v>343</v>
      </c>
      <c r="D37" s="16" t="n">
        <v>46137</v>
      </c>
      <c r="E37" s="19" t="inlineStr">
        <is>
          <t>RECEPCIÓN</t>
        </is>
      </c>
      <c r="F37" s="14" t="inlineStr">
        <is>
          <t>REIDINSON MONTERO</t>
        </is>
      </c>
      <c r="G37" s="6" t="inlineStr">
        <is>
          <t>FALTA SELLO, FIRMA O CÉDULA.</t>
        </is>
      </c>
      <c r="H37" s="6">
        <f>IF(G37="","",VLOOKUP(G37,REFERENCIA!$A$1:$B$15,2,0))</f>
        <v/>
      </c>
      <c r="I37" s="14" t="inlineStr">
        <is>
          <t>FALTO SELLO DE LA SUCURSAL</t>
        </is>
      </c>
      <c r="J37" s="6" t="n"/>
      <c r="K37" s="6" t="n"/>
    </row>
    <row r="38">
      <c r="A38" s="24" t="inlineStr">
        <is>
          <t>CASTAÑO</t>
        </is>
      </c>
      <c r="B38" s="24" t="inlineStr">
        <is>
          <t>YEFFERSON MORGADO, C.A.</t>
        </is>
      </c>
      <c r="C38" s="24" t="n">
        <v>30952</v>
      </c>
      <c r="D38" s="16" t="n">
        <v>46139</v>
      </c>
      <c r="E38" s="19" t="inlineStr">
        <is>
          <t>DEVOLUCION</t>
        </is>
      </c>
      <c r="F38" s="24" t="inlineStr">
        <is>
          <t xml:space="preserve">NEYDI JASPE </t>
        </is>
      </c>
      <c r="G38" s="6" t="inlineStr">
        <is>
          <t>DOCUMENTACIÓN ERRÓNEA</t>
        </is>
      </c>
      <c r="H38" s="6">
        <f>IF(G38="","",VLOOKUP(G38,REFERENCIA!$A$1:$B$15,2,0))</f>
        <v/>
      </c>
      <c r="I38" s="24" t="inlineStr">
        <is>
          <t>SE CARGO EL DOCUMENTO ERRONEO</t>
        </is>
      </c>
      <c r="J38" s="6" t="n"/>
      <c r="K38" s="6" t="n"/>
    </row>
    <row r="39">
      <c r="A39" s="24" t="inlineStr">
        <is>
          <t>CASTAÑO</t>
        </is>
      </c>
      <c r="B39" s="24" t="inlineStr">
        <is>
          <t>DISTRIBUIDORA JORIAN, C.A.</t>
        </is>
      </c>
      <c r="C39" s="24" t="n">
        <v>31012</v>
      </c>
      <c r="D39" s="16" t="n">
        <v>46139</v>
      </c>
      <c r="E39" s="19" t="inlineStr">
        <is>
          <t>DEVOLUCION</t>
        </is>
      </c>
      <c r="F39" s="24" t="inlineStr">
        <is>
          <t xml:space="preserve">NEYDI JASPE </t>
        </is>
      </c>
      <c r="G39" s="6" t="inlineStr">
        <is>
          <t>FALTA SELLO, FIRMA O CÉDULA.</t>
        </is>
      </c>
      <c r="H39" s="6">
        <f>IF(G39="","",VLOOKUP(G39,REFERENCIA!$A$1:$B$15,2,0))</f>
        <v/>
      </c>
      <c r="I39" s="24" t="inlineStr">
        <is>
          <t>FALTO SELLO DE LA SUCURSAL</t>
        </is>
      </c>
      <c r="J39" s="6" t="n"/>
      <c r="K39" s="6" t="n"/>
    </row>
    <row r="40">
      <c r="A40" s="24" t="inlineStr">
        <is>
          <t>CASTAÑO</t>
        </is>
      </c>
      <c r="B40" s="24" t="inlineStr">
        <is>
          <t xml:space="preserve">PEPSI COLA DE VENEZUELA, C.A. </t>
        </is>
      </c>
      <c r="C40" s="24" t="n">
        <v>201247568</v>
      </c>
      <c r="D40" s="16" t="n">
        <v>46140</v>
      </c>
      <c r="E40" s="19" t="inlineStr">
        <is>
          <t>RECEPCIÓN</t>
        </is>
      </c>
      <c r="F40" s="24" t="inlineStr">
        <is>
          <t xml:space="preserve">NEYDI JASPE </t>
        </is>
      </c>
      <c r="G40" s="6" t="inlineStr">
        <is>
          <t>PRODUCTO O SKU DUPLICADO.</t>
        </is>
      </c>
      <c r="H40" s="6">
        <f>IF(G40="","",VLOOKUP(G40,REFERENCIA!$A$1:$B$15,2,0))</f>
        <v/>
      </c>
      <c r="I40" s="24" t="inlineStr">
        <is>
          <t>SKU DUPLICADO</t>
        </is>
      </c>
      <c r="J40" s="6" t="n"/>
      <c r="K40" s="6" t="n"/>
    </row>
    <row r="41">
      <c r="A41" s="24" t="inlineStr">
        <is>
          <t>BARQUISIMETO</t>
        </is>
      </c>
      <c r="B41" s="24" t="inlineStr">
        <is>
          <t>EL TUNAL, C.A.</t>
        </is>
      </c>
      <c r="C41" s="24" t="n">
        <v>364543</v>
      </c>
      <c r="D41" s="16" t="n">
        <v>46140</v>
      </c>
      <c r="E41" s="19" t="inlineStr">
        <is>
          <t>RECEPCIÓN</t>
        </is>
      </c>
      <c r="F41" s="23" t="inlineStr">
        <is>
          <t xml:space="preserve">RUBER RAMOS </t>
        </is>
      </c>
      <c r="G41" s="6" t="inlineStr">
        <is>
          <t>NÚMERO DE CONTROL O DOCUMENTO ERRÓNEO.</t>
        </is>
      </c>
      <c r="H41" s="6">
        <f>IF(G41="","",VLOOKUP(G41,REFERENCIA!$A$1:$B$15,2,0))</f>
        <v/>
      </c>
      <c r="I41" s="24" t="inlineStr">
        <is>
          <t>NRO DE FACTURA ERRADO</t>
        </is>
      </c>
      <c r="J41" s="6" t="n"/>
      <c r="K41" s="6" t="n"/>
    </row>
    <row r="42">
      <c r="A42" s="24" t="inlineStr">
        <is>
          <t>BARQUISIMETO</t>
        </is>
      </c>
      <c r="B42" s="24" t="inlineStr">
        <is>
          <t xml:space="preserve">CAVA LUXOR </t>
        </is>
      </c>
      <c r="C42" s="24" t="n">
        <v>300014401</v>
      </c>
      <c r="D42" s="16" t="n">
        <v>46140</v>
      </c>
      <c r="E42" s="19" t="inlineStr">
        <is>
          <t>RECEPCIÓN</t>
        </is>
      </c>
      <c r="F42" s="6" t="inlineStr">
        <is>
          <t>REIDINSON MONTERO</t>
        </is>
      </c>
      <c r="G42" s="6" t="inlineStr">
        <is>
          <t>DIFERENCIA ENTRE CANTIDAD FISCALIZADA Y DOCUMENTO.</t>
        </is>
      </c>
      <c r="H42" s="6">
        <f>IF(G42="","",VLOOKUP(G42,REFERENCIA!$A$1:$B$15,2,0))</f>
        <v/>
      </c>
      <c r="I42" s="6" t="inlineStr">
        <is>
          <t>SE RESTO MAL EL PESO BRUTO- LA TARA</t>
        </is>
      </c>
      <c r="J42" s="6" t="n"/>
      <c r="K42" s="6" t="n"/>
    </row>
    <row r="43">
      <c r="A43" s="24" t="inlineStr">
        <is>
          <t>BARQUISIMETO</t>
        </is>
      </c>
      <c r="B43" s="24" t="inlineStr">
        <is>
          <t>CERVECERIA POLAR, C.A.</t>
        </is>
      </c>
      <c r="C43" s="24" t="n">
        <v>1630087660</v>
      </c>
      <c r="D43" s="16" t="n">
        <v>46141</v>
      </c>
      <c r="E43" s="19" t="inlineStr">
        <is>
          <t>RECEPCIÓN</t>
        </is>
      </c>
      <c r="F43" s="6" t="inlineStr">
        <is>
          <t>REIDINSON MONTERO</t>
        </is>
      </c>
      <c r="G43" s="6" t="inlineStr">
        <is>
          <t>PRODUCTO O SKU DUPLICADO.</t>
        </is>
      </c>
      <c r="H43" s="6">
        <f>IF(G43="","",VLOOKUP(G43,REFERENCIA!$A$1:$B$15,2,0))</f>
        <v/>
      </c>
      <c r="I43" s="24" t="inlineStr">
        <is>
          <t>SKU DUPLICADO</t>
        </is>
      </c>
      <c r="J43" s="6" t="n"/>
      <c r="K43" s="6" t="n"/>
    </row>
    <row r="44">
      <c r="A44" s="24" t="inlineStr">
        <is>
          <t>CASTAÑO</t>
        </is>
      </c>
      <c r="B44" s="24" t="inlineStr">
        <is>
          <t>INVERSIONES AJI, C.A.</t>
        </is>
      </c>
      <c r="C44" s="24" t="n">
        <v>255670</v>
      </c>
      <c r="D44" s="16" t="n">
        <v>46141</v>
      </c>
      <c r="E44" s="19" t="inlineStr">
        <is>
          <t>RECEPCIÓN</t>
        </is>
      </c>
      <c r="F44" s="6" t="inlineStr">
        <is>
          <t xml:space="preserve">FERNANDO CABRERA </t>
        </is>
      </c>
      <c r="G44" s="6" t="inlineStr">
        <is>
          <t>NÚMERO DE CONTROL O DOCUMENTO ERRÓNEO.</t>
        </is>
      </c>
      <c r="H44" s="6">
        <f>IF(G44="","",VLOOKUP(G44,REFERENCIA!$A$1:$B$15,2,0))</f>
        <v/>
      </c>
      <c r="I44" s="24" t="inlineStr">
        <is>
          <t>NRO DE CONTROL ERRADO</t>
        </is>
      </c>
      <c r="J44" s="6" t="n"/>
      <c r="K44" s="6" t="n"/>
    </row>
    <row r="45">
      <c r="A45" s="24" t="inlineStr">
        <is>
          <t>CASTAÑO</t>
        </is>
      </c>
      <c r="B45" s="24" t="inlineStr">
        <is>
          <t>I.T.F, C.A.</t>
        </is>
      </c>
      <c r="C45" s="24" t="n">
        <v>135276</v>
      </c>
      <c r="D45" s="16" t="n">
        <v>46141</v>
      </c>
      <c r="E45" s="19" t="inlineStr">
        <is>
          <t>RECEPCIÓN</t>
        </is>
      </c>
      <c r="F45" s="24" t="inlineStr">
        <is>
          <t xml:space="preserve">NEYDI JASPE </t>
        </is>
      </c>
      <c r="G45" s="6" t="inlineStr">
        <is>
          <t>NÚMERO DE CONTROL O DOCUMENTO ERRÓNEO.</t>
        </is>
      </c>
      <c r="H45" s="6">
        <f>IF(G45="","",VLOOKUP(G45,REFERENCIA!$A$1:$B$15,2,0))</f>
        <v/>
      </c>
      <c r="I45" s="24" t="inlineStr">
        <is>
          <t>NRO DE FACTURA ERRADO</t>
        </is>
      </c>
      <c r="J45" s="6" t="n"/>
      <c r="K45" s="6" t="n"/>
    </row>
    <row r="46">
      <c r="A46" s="24" t="inlineStr">
        <is>
          <t>BARQUISIMETO</t>
        </is>
      </c>
      <c r="B46" s="24" t="inlineStr">
        <is>
          <t>ALIMENTOS HEINZ, C.A.</t>
        </is>
      </c>
      <c r="C46" s="24" t="n">
        <v>2225689</v>
      </c>
      <c r="D46" s="16" t="n">
        <v>46141</v>
      </c>
      <c r="E46" s="19" t="inlineStr">
        <is>
          <t>RECEPCIÓN</t>
        </is>
      </c>
      <c r="F46" s="6" t="inlineStr">
        <is>
          <t>REIDINSON MONTERO</t>
        </is>
      </c>
      <c r="G46" s="6" t="inlineStr">
        <is>
          <t>PRODUCTO O SKU DUPLICADO.</t>
        </is>
      </c>
      <c r="H46" s="6">
        <f>IF(G46="","",VLOOKUP(G46,REFERENCIA!$A$1:$B$15,2,0))</f>
        <v/>
      </c>
      <c r="I46" s="24" t="inlineStr">
        <is>
          <t>SKU DUPLICADO</t>
        </is>
      </c>
      <c r="J46" s="6" t="n"/>
      <c r="K46" s="6" t="n"/>
    </row>
    <row r="47">
      <c r="A47" s="24" t="inlineStr">
        <is>
          <t>CASTAÑO</t>
        </is>
      </c>
      <c r="B47" s="24" t="inlineStr">
        <is>
          <t>NUCITA VENEZOLANA, NUCIVEN C.A.</t>
        </is>
      </c>
      <c r="C47" s="24" t="n">
        <v>9180046057</v>
      </c>
      <c r="D47" s="16" t="n">
        <v>46142</v>
      </c>
      <c r="E47" s="19" t="inlineStr">
        <is>
          <t>RECEPCIÓN</t>
        </is>
      </c>
      <c r="F47" s="24" t="inlineStr">
        <is>
          <t>ROBERT GIL</t>
        </is>
      </c>
      <c r="G47" s="6" t="inlineStr">
        <is>
          <t>PRODUCTO O SKU DUPLICADO.</t>
        </is>
      </c>
      <c r="H47" s="6">
        <f>IF(G47="","",VLOOKUP(G47,REFERENCIA!$A$1:$B$15,2,0))</f>
        <v/>
      </c>
      <c r="I47" s="24" t="inlineStr">
        <is>
          <t>SKU DUPLICADO</t>
        </is>
      </c>
      <c r="J47" s="6" t="n"/>
      <c r="K47" s="6" t="n"/>
    </row>
    <row r="48">
      <c r="A48" s="24" t="inlineStr">
        <is>
          <t>BARQUISIMETO</t>
        </is>
      </c>
      <c r="B48" s="24" t="inlineStr">
        <is>
          <t>RUBROS SANARE C2, C.A.</t>
        </is>
      </c>
      <c r="C48" s="24" t="n">
        <v>31600</v>
      </c>
      <c r="D48" s="16" t="n">
        <v>46142</v>
      </c>
      <c r="E48" s="19" t="inlineStr">
        <is>
          <t>DEVOLUCION</t>
        </is>
      </c>
      <c r="F48" s="6" t="inlineStr">
        <is>
          <t>REIDINSON MONTERO</t>
        </is>
      </c>
      <c r="G48" s="6" t="inlineStr">
        <is>
          <t>NÚMERO DE CONTROL O DOCUMENTO ERRÓNEO.</t>
        </is>
      </c>
      <c r="H48" s="6">
        <f>IF(G48="","",VLOOKUP(G48,REFERENCIA!$A$1:$B$15,2,0))</f>
        <v/>
      </c>
      <c r="I48" s="24" t="inlineStr">
        <is>
          <t>NRO DE DOCUMENTO ERRONEO</t>
        </is>
      </c>
      <c r="J48" s="6" t="n"/>
      <c r="K48" s="6" t="n"/>
    </row>
    <row r="49">
      <c r="A49" s="24" t="inlineStr">
        <is>
          <t>CASTAÑO</t>
        </is>
      </c>
      <c r="B49" s="24" t="inlineStr">
        <is>
          <t>KC GLOBAL INT, C.A.</t>
        </is>
      </c>
      <c r="C49" s="24" t="n">
        <v>6442</v>
      </c>
      <c r="D49" s="16" t="n">
        <v>46142</v>
      </c>
      <c r="E49" s="19" t="inlineStr">
        <is>
          <t>RECEPCIÓN</t>
        </is>
      </c>
      <c r="F49" s="24" t="inlineStr">
        <is>
          <t xml:space="preserve">NEYDI JASPE </t>
        </is>
      </c>
      <c r="G49" s="6" t="inlineStr">
        <is>
          <t>PRODUCTO O SKU DUPLICADO.</t>
        </is>
      </c>
      <c r="H49" s="6">
        <f>IF(G49="","",VLOOKUP(G49,REFERENCIA!$A$1:$B$15,2,0))</f>
        <v/>
      </c>
      <c r="I49" s="24" t="inlineStr">
        <is>
          <t>SKU DUPLICADO</t>
        </is>
      </c>
      <c r="J49" s="6" t="n"/>
      <c r="K49" s="6" t="n"/>
    </row>
    <row r="50">
      <c r="A50" s="6" t="n"/>
      <c r="B50" s="6" t="n"/>
      <c r="C50" s="6" t="n"/>
      <c r="D50" s="16" t="n"/>
      <c r="E50" s="19" t="n"/>
      <c r="F50" s="6" t="n"/>
      <c r="G50" s="6" t="n"/>
      <c r="H50" s="6">
        <f>IF(G50="","",VLOOKUP(G50,REFERENCIA!$A$1:$B$15,2,0))</f>
        <v/>
      </c>
      <c r="I50" s="6" t="n"/>
      <c r="J50" s="6" t="n"/>
      <c r="K50" s="6" t="n"/>
    </row>
    <row r="51">
      <c r="A51" s="6" t="n"/>
      <c r="B51" s="6" t="n"/>
      <c r="C51" s="6" t="n"/>
      <c r="D51" s="16" t="n"/>
      <c r="E51" s="19" t="n"/>
      <c r="F51" s="6" t="n"/>
      <c r="G51" s="6" t="n"/>
      <c r="H51" s="6">
        <f>IF(G51="","",VLOOKUP(G51,REFERENCIA!$A$1:$B$15,2,0))</f>
        <v/>
      </c>
      <c r="I51" s="6" t="n"/>
      <c r="J51" s="6" t="n"/>
      <c r="K51" s="6" t="n"/>
    </row>
    <row r="52">
      <c r="A52" s="6" t="n"/>
      <c r="B52" s="6" t="n"/>
      <c r="C52" s="6" t="n"/>
      <c r="D52" s="16" t="n"/>
      <c r="E52" s="19" t="n"/>
      <c r="F52" s="6" t="n"/>
      <c r="G52" s="6" t="n"/>
      <c r="H52" s="6">
        <f>IF(G52="","",VLOOKUP(G52,REFERENCIA!$A$1:$B$15,2,0))</f>
        <v/>
      </c>
      <c r="I52" s="6" t="n"/>
      <c r="J52" s="6" t="n"/>
      <c r="K52" s="6" t="n"/>
    </row>
    <row r="53">
      <c r="A53" s="6" t="n"/>
      <c r="B53" s="6" t="n"/>
      <c r="C53" s="6" t="n"/>
      <c r="D53" s="16" t="n"/>
      <c r="E53" s="19" t="n"/>
      <c r="F53" s="6" t="n"/>
      <c r="G53" s="6" t="n"/>
      <c r="H53" s="6">
        <f>IF(G53="","",VLOOKUP(G53,REFERENCIA!$A$1:$B$15,2,0))</f>
        <v/>
      </c>
      <c r="I53" s="6" t="n"/>
      <c r="J53" s="6" t="n"/>
      <c r="K53" s="6" t="n"/>
    </row>
    <row r="54">
      <c r="A54" s="6" t="n"/>
      <c r="B54" s="6" t="n"/>
      <c r="C54" s="6" t="n"/>
      <c r="D54" s="16" t="n"/>
      <c r="E54" s="19" t="n"/>
      <c r="F54" s="6" t="n"/>
      <c r="G54" s="6" t="n"/>
      <c r="H54" s="6">
        <f>IF(G54="","",VLOOKUP(G54,REFERENCIA!$A$1:$B$15,2,0))</f>
        <v/>
      </c>
      <c r="I54" s="6" t="n"/>
      <c r="J54" s="6" t="n"/>
      <c r="K54" s="6" t="n"/>
    </row>
    <row r="55">
      <c r="A55" s="6" t="n"/>
      <c r="B55" s="6" t="n"/>
      <c r="C55" s="6" t="n"/>
      <c r="D55" s="16" t="n"/>
      <c r="E55" s="19" t="n"/>
      <c r="F55" s="6" t="n"/>
      <c r="G55" s="6" t="n"/>
      <c r="H55" s="6">
        <f>IF(G55="","",VLOOKUP(G55,REFERENCIA!$A$1:$B$15,2,0))</f>
        <v/>
      </c>
      <c r="I55" s="6" t="n"/>
      <c r="J55" s="6" t="n"/>
      <c r="K55" s="6" t="n"/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conditionalFormatting sqref="B9">
    <cfRule type="duplicateValues" priority="9" dxfId="0"/>
    <cfRule type="duplicateValues" priority="10" dxfId="0"/>
  </conditionalFormatting>
  <conditionalFormatting sqref="B26">
    <cfRule type="duplicateValues" priority="7" dxfId="0"/>
    <cfRule type="duplicateValues" priority="8" dxfId="0"/>
  </conditionalFormatting>
  <conditionalFormatting sqref="B28">
    <cfRule type="duplicateValues" priority="5" dxfId="0"/>
    <cfRule type="duplicateValues" priority="6" dxfId="0"/>
  </conditionalFormatting>
  <conditionalFormatting sqref="B32">
    <cfRule type="duplicateValues" priority="3" dxfId="0"/>
    <cfRule type="duplicateValues" priority="4" dxfId="0"/>
  </conditionalFormatting>
  <conditionalFormatting sqref="B33">
    <cfRule type="duplicateValues" priority="1" dxfId="0"/>
    <cfRule type="duplicateValues" priority="2" dxfId="0"/>
  </conditionalFormatting>
  <dataValidations count="1">
    <dataValidation sqref="B9:B10 B12:B13 B15 B17:B19 B26:B29 B31:B33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69140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2026-06-02T18:12:05Z</dcterms:modified>
  <cp:lastModifiedBy>Admin</cp:lastModifiedBy>
</cp:coreProperties>
</file>