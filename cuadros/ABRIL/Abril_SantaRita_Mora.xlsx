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externalReferences>
    <externalReference xmlns:r="http://schemas.openxmlformats.org/officeDocument/2006/relationships" r:id="rId3"/>
  </externalReferenc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00000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vertical="center"/>
    </xf>
    <xf numFmtId="49" fontId="0" fillId="0" borderId="1" pivotButton="0" quotePrefix="0" xfId="0"/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3" fillId="4" borderId="2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164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4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0" fillId="4" borderId="2" pivotButton="0" quotePrefix="0" xfId="0"/>
    <xf numFmtId="0" fontId="0" fillId="0" borderId="3" applyAlignment="1" pivotButton="0" quotePrefix="0" xfId="0">
      <alignment horizontal="center" vertical="center"/>
    </xf>
    <xf numFmtId="164" fontId="0" fillId="0" borderId="3" pivotButton="0" quotePrefix="0" xfId="0"/>
    <xf numFmtId="14" fontId="0" fillId="0" borderId="0" pivotButton="0" quotePrefix="0" xfId="0"/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 wrapText="1"/>
    </xf>
    <xf numFmtId="49" fontId="0" fillId="0" borderId="0" pivotButton="0" quotePrefix="0" xfId="0"/>
    <xf numFmtId="0" fontId="0" fillId="0" borderId="0" applyAlignment="1" pivotButton="0" quotePrefix="0" xfId="0">
      <alignment horizontal="center" wrapText="1"/>
    </xf>
    <xf numFmtId="14" fontId="1" fillId="2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0" fillId="0" borderId="2" applyAlignment="1" pivotButton="0" quotePrefix="0" xfId="0">
      <alignment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externalLink" Target="/xl/externalLinks/externalLink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Users/MONITOR7/Desktop/Abril_Santa_Rita_Mora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REFERENCIA"/>
    </sheetNames>
    <sheetDataSet>
      <sheetData sheetId="0"/>
      <sheetData sheetId="1">
        <row r="1">
          <cell r="A1" t="str">
            <v>NÚMERO DE CONTROL O DOCUMENTO ERRÓNEO.</v>
          </cell>
          <cell r="B1" t="str">
            <v>TIPO A</v>
          </cell>
        </row>
        <row r="2">
          <cell r="A2" t="str">
            <v>FALTA SELLO, FIRMA O CÉDULA.</v>
          </cell>
          <cell r="B2" t="str">
            <v>TIPO A</v>
          </cell>
        </row>
        <row r="3">
          <cell r="A3" t="str">
            <v>DOCUMENTO NO LEGIBLE</v>
          </cell>
          <cell r="B3" t="str">
            <v>TIPO A</v>
          </cell>
        </row>
        <row r="4">
          <cell r="A4" t="str">
            <v>DOCUMENTACIÓN ERRÓNEA</v>
          </cell>
          <cell r="B4" t="str">
            <v>TIPO B</v>
          </cell>
        </row>
        <row r="5">
          <cell r="A5" t="str">
            <v>FISCALIZACIÓN A DESTIEMPO</v>
          </cell>
          <cell r="B5" t="str">
            <v>TIPO B</v>
          </cell>
        </row>
        <row r="6">
          <cell r="A6" t="str">
            <v>PRODUCTO O SKU DUPLICADO.</v>
          </cell>
          <cell r="B6" t="str">
            <v>TIPO B</v>
          </cell>
        </row>
        <row r="7">
          <cell r="A7" t="str">
            <v>RECEPCIÓN FUERA DE VISUAL / CON OBSTRUCCIÓN.</v>
          </cell>
          <cell r="B7" t="str">
            <v>TIPO B</v>
          </cell>
        </row>
        <row r="8">
          <cell r="A8" t="str">
            <v>FISCALIZACIÓN CON USUARIO NO CORRESPONDIENTE</v>
          </cell>
          <cell r="B8" t="str">
            <v>TIPO C</v>
          </cell>
        </row>
        <row r="9">
          <cell r="A9" t="str">
            <v>ERROR DE KG EN TARA.</v>
          </cell>
          <cell r="B9" t="str">
            <v>TIPO C</v>
          </cell>
        </row>
        <row r="10">
          <cell r="A10" t="str">
            <v>PRODUCTO O SKU NO PERTENECE A LA RECEPCIÓN.</v>
          </cell>
          <cell r="B10" t="str">
            <v>TIPO C</v>
          </cell>
        </row>
        <row r="11">
          <cell r="A11" t="str">
            <v>NO FISCALIZÓ UNO O VARIOS PRODUCTOS</v>
          </cell>
          <cell r="B11" t="str">
            <v>TIPO C</v>
          </cell>
        </row>
        <row r="12">
          <cell r="A12" t="str">
            <v>NO SE INDICÓ DIFERENCIA AL DORSO DE LA FACTURA.</v>
          </cell>
          <cell r="B12" t="str">
            <v>TIPO D</v>
          </cell>
        </row>
        <row r="13">
          <cell r="A13" t="str">
            <v>DIFERENCIA ENTRE CANTIDAD FISCALIZADA Y DOCUMENTO.</v>
          </cell>
          <cell r="B13" t="str">
            <v>TIPO D</v>
          </cell>
        </row>
        <row r="14">
          <cell r="A14" t="str">
            <v>RECEPCIÓN SIN AUTORIZACIÓN DE CMF.</v>
          </cell>
          <cell r="B14" t="str">
            <v>TIPO E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55" zoomScaleNormal="55" workbookViewId="0">
      <selection activeCell="V11" sqref="V11"/>
    </sheetView>
  </sheetViews>
  <sheetFormatPr baseColWidth="10" defaultColWidth="8.921875" defaultRowHeight="14.6"/>
  <cols>
    <col width="12" customWidth="1" min="1" max="1"/>
    <col width="16.23046875" customWidth="1" min="2" max="2"/>
    <col width="8.4609375" customWidth="1" min="3" max="3"/>
    <col width="6.84375" customWidth="1" style="25" min="4" max="4"/>
    <col width="12.69140625" customWidth="1" min="5" max="5"/>
    <col width="14.84375" customWidth="1" min="6" max="6"/>
    <col width="33.921875" customWidth="1" min="7" max="7"/>
    <col width="10.15234375" customWidth="1" min="8" max="8"/>
    <col width="63.61328125" bestFit="1" customWidth="1" min="9" max="9"/>
    <col width="8.07421875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30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 ht="29.15" customHeight="1">
      <c r="A2" s="2" t="inlineStr">
        <is>
          <t>MORA</t>
        </is>
      </c>
      <c r="B2" s="3" t="inlineStr">
        <is>
          <t>MUNCHY</t>
        </is>
      </c>
      <c r="C2" s="12" t="inlineStr">
        <is>
          <t>afac000024499</t>
        </is>
      </c>
      <c r="D2" s="32" t="n">
        <v>46113</v>
      </c>
      <c r="E2" s="5" t="inlineStr">
        <is>
          <t>RECEPCION</t>
        </is>
      </c>
      <c r="F2" s="6" t="inlineStr">
        <is>
          <t>JOSBEIKER ROJAS</t>
        </is>
      </c>
      <c r="G2" s="6" t="inlineStr">
        <is>
          <t>PRODUCTO O SKU DUPLICADO.</t>
        </is>
      </c>
      <c r="H2" s="13" t="inlineStr">
        <is>
          <t xml:space="preserve">TIPO B </t>
        </is>
      </c>
      <c r="I2" s="6" t="inlineStr">
        <is>
          <t xml:space="preserve">ERROR EN SKU DUPLICADO </t>
        </is>
      </c>
      <c r="J2" s="15" t="n"/>
      <c r="K2" s="9" t="n"/>
    </row>
    <row r="3" ht="29.15" customHeight="1">
      <c r="A3" s="2" t="inlineStr">
        <is>
          <t>MORA</t>
        </is>
      </c>
      <c r="B3" s="6" t="inlineStr">
        <is>
          <t>CAVA LUXOR</t>
        </is>
      </c>
      <c r="C3" s="12" t="n">
        <v>300011807</v>
      </c>
      <c r="D3" s="32" t="n">
        <v>46115</v>
      </c>
      <c r="E3" s="5" t="inlineStr">
        <is>
          <t>RECEPCION</t>
        </is>
      </c>
      <c r="F3" s="6" t="inlineStr">
        <is>
          <t>JOSBEIKER ROJAS</t>
        </is>
      </c>
      <c r="G3" s="6" t="inlineStr">
        <is>
          <t>ERROR DE KG TARA.</t>
        </is>
      </c>
      <c r="H3" s="13" t="inlineStr">
        <is>
          <t>TIPO C</t>
        </is>
      </c>
      <c r="I3" s="6" t="inlineStr">
        <is>
          <t>ERROR EN CARGAR SKU DE UN PAN INCORRECTO Y ERROR DETRANSCRIPTOR CONFUNDIR RECEPCION</t>
        </is>
      </c>
      <c r="J3" s="15" t="n"/>
      <c r="K3" s="9" t="n"/>
    </row>
    <row r="4" ht="29.15" customHeight="1">
      <c r="A4" s="2" t="inlineStr">
        <is>
          <t>SANTA RITA</t>
        </is>
      </c>
      <c r="B4" s="6" t="inlineStr">
        <is>
          <t>PATRONAS</t>
        </is>
      </c>
      <c r="C4" s="12" t="n">
        <v>26799</v>
      </c>
      <c r="D4" s="32" t="n">
        <v>46116</v>
      </c>
      <c r="E4" s="5" t="inlineStr">
        <is>
          <t>DEVOLUCION</t>
        </is>
      </c>
      <c r="F4" s="6" t="inlineStr">
        <is>
          <t>YESIKA RUIZ</t>
        </is>
      </c>
      <c r="G4" s="6" t="inlineStr">
        <is>
          <t>PRODUCTO O SKU NO PERTENECE A LA RECEPCIÓN.</t>
        </is>
      </c>
      <c r="H4" s="13" t="inlineStr">
        <is>
          <t>TIPO C</t>
        </is>
      </c>
      <c r="I4" s="6" t="inlineStr">
        <is>
          <t>ERROR EN PRODUCTO NO SALE EN LA DEVOLUCION</t>
        </is>
      </c>
      <c r="J4" s="15" t="n"/>
      <c r="K4" s="9" t="n"/>
    </row>
    <row r="5" ht="29.15" customHeight="1">
      <c r="A5" s="2" t="inlineStr">
        <is>
          <t>SANTA RITA</t>
        </is>
      </c>
      <c r="B5" s="6" t="inlineStr">
        <is>
          <t>ALIMENTOS VALES DE ARAGUA</t>
        </is>
      </c>
      <c r="C5" s="12" t="n">
        <v>9559</v>
      </c>
      <c r="D5" s="32" t="n">
        <v>46119</v>
      </c>
      <c r="E5" s="5" t="inlineStr">
        <is>
          <t>RECEPCION</t>
        </is>
      </c>
      <c r="F5" s="6" t="inlineStr">
        <is>
          <t>YESIKA RUIZ</t>
        </is>
      </c>
      <c r="G5" s="6" t="inlineStr">
        <is>
          <t>PRODUCTO O SKU NO PERTENECE A LA RECEPCIÓN.</t>
        </is>
      </c>
      <c r="H5" s="13" t="inlineStr">
        <is>
          <t>TIPO C</t>
        </is>
      </c>
      <c r="I5" s="6" t="inlineStr">
        <is>
          <t>ERROR EN PRODUCTO NO PERTENECE A LA RECEPCIO</t>
        </is>
      </c>
      <c r="J5" s="15" t="n"/>
      <c r="K5" s="9" t="n"/>
    </row>
    <row r="6" ht="29.15" customHeight="1">
      <c r="A6" s="10" t="inlineStr">
        <is>
          <t>MORA</t>
        </is>
      </c>
      <c r="B6" s="18" t="inlineStr">
        <is>
          <t>LATIN FRUITS</t>
        </is>
      </c>
      <c r="C6" s="12" t="n">
        <v>6073</v>
      </c>
      <c r="D6" s="32" t="n">
        <v>46118</v>
      </c>
      <c r="E6" s="13" t="inlineStr">
        <is>
          <t>RECEPCION</t>
        </is>
      </c>
      <c r="F6" s="18" t="inlineStr">
        <is>
          <t>HEDI ROA</t>
        </is>
      </c>
      <c r="G6" s="18" t="inlineStr">
        <is>
          <t>NO SE INDICÓ DIFERENCIA AL DORSO DE LA FACTURA.</t>
        </is>
      </c>
      <c r="H6" s="13" t="inlineStr">
        <is>
          <t>TIPO D</t>
        </is>
      </c>
      <c r="I6" s="18" t="inlineStr">
        <is>
          <t>CARGO DOCUMENTACION AL DORSO CON 10KG MAS DE AGUACATE</t>
        </is>
      </c>
      <c r="J6" s="14" t="n">
        <v>28.9</v>
      </c>
      <c r="K6" s="9" t="inlineStr">
        <is>
          <t>00013161</t>
        </is>
      </c>
    </row>
    <row r="7" ht="29.15" customHeight="1">
      <c r="A7" s="18" t="inlineStr">
        <is>
          <t>MORA</t>
        </is>
      </c>
      <c r="B7" s="18" t="inlineStr">
        <is>
          <t>PATRONAS</t>
        </is>
      </c>
      <c r="C7" s="12" t="n">
        <v>422</v>
      </c>
      <c r="D7" s="32" t="n">
        <v>46120</v>
      </c>
      <c r="E7" s="13" t="inlineStr">
        <is>
          <t>RECEPCION</t>
        </is>
      </c>
      <c r="F7" s="18" t="inlineStr">
        <is>
          <t>JOSBEIKER ROJAS</t>
        </is>
      </c>
      <c r="G7" s="18" t="inlineStr">
        <is>
          <t>DOCUMENTACIÓN ERRÓNEA</t>
        </is>
      </c>
      <c r="H7" s="13" t="inlineStr">
        <is>
          <t xml:space="preserve">TIPO B </t>
        </is>
      </c>
      <c r="I7" s="18" t="inlineStr">
        <is>
          <t>ERROR EN DOCUMENTO AGREGADO</t>
        </is>
      </c>
      <c r="J7" s="15" t="n"/>
      <c r="K7" s="9" t="n"/>
    </row>
    <row r="8" ht="29.15" customHeight="1">
      <c r="A8" s="18" t="inlineStr">
        <is>
          <t>MORA</t>
        </is>
      </c>
      <c r="B8" s="18" t="inlineStr">
        <is>
          <t>EMBOTELLADORA DEL CENTRO</t>
        </is>
      </c>
      <c r="C8" s="12" t="n">
        <v>6003896</v>
      </c>
      <c r="D8" s="32" t="n">
        <v>46120</v>
      </c>
      <c r="E8" s="13" t="inlineStr">
        <is>
          <t>RECEPCION</t>
        </is>
      </c>
      <c r="F8" s="18" t="inlineStr">
        <is>
          <t>JOSBEIKER ROJAS</t>
        </is>
      </c>
      <c r="G8" s="18" t="inlineStr">
        <is>
          <t>PRODUCTO O SKU DUPLICADO.</t>
        </is>
      </c>
      <c r="H8" s="13" t="inlineStr">
        <is>
          <t xml:space="preserve">TIPO B </t>
        </is>
      </c>
      <c r="I8" s="18" t="inlineStr">
        <is>
          <t>ERRO EN SKU DUPLICADO TE CON LIMON 1.5</t>
        </is>
      </c>
      <c r="J8" s="15" t="n"/>
      <c r="K8" s="9" t="n"/>
    </row>
    <row r="9" ht="27" customHeight="1">
      <c r="A9" s="10" t="inlineStr">
        <is>
          <t>MORA</t>
        </is>
      </c>
      <c r="B9" s="18" t="inlineStr">
        <is>
          <t>MUSASEUM</t>
        </is>
      </c>
      <c r="C9" s="12" t="n">
        <v>3822</v>
      </c>
      <c r="D9" s="32" t="n">
        <v>46122</v>
      </c>
      <c r="E9" s="13" t="inlineStr">
        <is>
          <t>RECEPCION</t>
        </is>
      </c>
      <c r="F9" s="18" t="inlineStr">
        <is>
          <t>HEDI ROA</t>
        </is>
      </c>
      <c r="G9" s="18" t="inlineStr">
        <is>
          <t>DOCUMENTO NO LEGIBLE</t>
        </is>
      </c>
      <c r="H9" s="13" t="inlineStr">
        <is>
          <t>TIPO A</t>
        </is>
      </c>
      <c r="I9" s="18" t="inlineStr">
        <is>
          <t xml:space="preserve">ERROR AL COLOCAR IMAGEN DISTORSIONADA, SE PONE LA IMAGEN DE AMBERSO IGUALMENTE AL DORSO, DOCUMENTAN SIN IMAGEN </t>
        </is>
      </c>
      <c r="J9" s="15" t="n"/>
      <c r="K9" s="9" t="n"/>
    </row>
    <row r="10">
      <c r="A10" s="18" t="inlineStr">
        <is>
          <t>MORA</t>
        </is>
      </c>
      <c r="B10" s="18" t="inlineStr">
        <is>
          <t>MUSASEUM</t>
        </is>
      </c>
      <c r="C10" s="12" t="n">
        <v>3855</v>
      </c>
      <c r="D10" s="32" t="n">
        <v>46125</v>
      </c>
      <c r="E10" s="13" t="inlineStr">
        <is>
          <t>RECEPCION</t>
        </is>
      </c>
      <c r="F10" s="18" t="inlineStr">
        <is>
          <t>HEDI ROA</t>
        </is>
      </c>
      <c r="G10" s="18" t="inlineStr">
        <is>
          <t>FALTA SELLO, FIRMA O CÉDULA.</t>
        </is>
      </c>
      <c r="H10" s="13" t="inlineStr">
        <is>
          <t xml:space="preserve">TIPO A  </t>
        </is>
      </c>
      <c r="I10" s="18" t="inlineStr">
        <is>
          <t>FALTA FIRMA DE GERENCIA</t>
        </is>
      </c>
      <c r="J10" s="15" t="n"/>
      <c r="K10" s="9" t="n"/>
    </row>
    <row r="11">
      <c r="A11" s="16" t="inlineStr">
        <is>
          <t>MORA</t>
        </is>
      </c>
      <c r="B11" s="16" t="inlineStr">
        <is>
          <t>MUSASEUM</t>
        </is>
      </c>
      <c r="C11" s="17" t="n">
        <v>28319</v>
      </c>
      <c r="D11" s="33" t="n">
        <v>46125</v>
      </c>
      <c r="E11" s="16" t="inlineStr">
        <is>
          <t>DEVOLUCION</t>
        </is>
      </c>
      <c r="F11" s="16" t="inlineStr">
        <is>
          <t>HEDI ROA</t>
        </is>
      </c>
      <c r="G11" s="18" t="inlineStr">
        <is>
          <t>ERROR DE KG EN TARA.</t>
        </is>
      </c>
      <c r="H11" s="16" t="inlineStr">
        <is>
          <t>TIPO C</t>
        </is>
      </c>
      <c r="I11" s="18" t="inlineStr">
        <is>
          <t>ERROR AL NO CARGAR TARA 5.6kg</t>
        </is>
      </c>
      <c r="J11" s="19" t="n"/>
      <c r="K11" s="9" t="n"/>
    </row>
    <row r="12">
      <c r="A12" s="16" t="inlineStr">
        <is>
          <t>MORA</t>
        </is>
      </c>
      <c r="B12" s="16" t="inlineStr">
        <is>
          <t>MOSCASA</t>
        </is>
      </c>
      <c r="C12" s="17" t="n">
        <v>114156072</v>
      </c>
      <c r="D12" s="33" t="n">
        <v>46125</v>
      </c>
      <c r="E12" s="16" t="inlineStr">
        <is>
          <t>RECEPCION</t>
        </is>
      </c>
      <c r="F12" s="16" t="inlineStr">
        <is>
          <t>HEDI ROA</t>
        </is>
      </c>
      <c r="G12" s="18" t="inlineStr">
        <is>
          <t>DOCUMENTACIÓN ERRÓNEA</t>
        </is>
      </c>
      <c r="H12" s="16" t="inlineStr">
        <is>
          <t xml:space="preserve">TIPO B </t>
        </is>
      </c>
      <c r="I12" s="18" t="inlineStr">
        <is>
          <t>ERROR AL CARGAR DOCUMENTO</t>
        </is>
      </c>
      <c r="J12" s="19" t="n"/>
      <c r="K12" s="9" t="n"/>
    </row>
    <row r="13">
      <c r="A13" s="16" t="inlineStr">
        <is>
          <t>MORA</t>
        </is>
      </c>
      <c r="B13" s="16" t="inlineStr">
        <is>
          <t>COCA COLA</t>
        </is>
      </c>
      <c r="C13" s="17" t="inlineStr">
        <is>
          <t>31fp9525260</t>
        </is>
      </c>
      <c r="D13" s="33" t="n">
        <v>46126</v>
      </c>
      <c r="E13" s="16" t="inlineStr">
        <is>
          <t>RECEPCION</t>
        </is>
      </c>
      <c r="F13" s="16" t="inlineStr">
        <is>
          <t>JOHANA GUTIERRZ</t>
        </is>
      </c>
      <c r="G13" s="18" t="inlineStr">
        <is>
          <t>PRODUCTO O SKU DUPLICADO.</t>
        </is>
      </c>
      <c r="H13" s="16" t="inlineStr">
        <is>
          <t xml:space="preserve">TIPO B </t>
        </is>
      </c>
      <c r="I13" s="18" t="inlineStr">
        <is>
          <t>SKU DUPLICADO BEB5630</t>
        </is>
      </c>
      <c r="J13" s="19" t="n"/>
      <c r="K13" s="9" t="n"/>
    </row>
    <row r="14">
      <c r="A14" s="16" t="inlineStr">
        <is>
          <t>MORA</t>
        </is>
      </c>
      <c r="B14" s="16" t="inlineStr">
        <is>
          <t>PEPSICO</t>
        </is>
      </c>
      <c r="C14" s="17" t="n">
        <v>3500231148</v>
      </c>
      <c r="D14" s="33" t="n">
        <v>46126</v>
      </c>
      <c r="E14" s="16" t="inlineStr">
        <is>
          <t>RECEPCION</t>
        </is>
      </c>
      <c r="F14" s="16" t="inlineStr">
        <is>
          <t>JOHANA GUTIERRZ</t>
        </is>
      </c>
      <c r="G14" s="18" t="inlineStr">
        <is>
          <t>PRODUCTO O SKU DUPLICADO.</t>
        </is>
      </c>
      <c r="H14" s="16" t="inlineStr">
        <is>
          <t xml:space="preserve">TIPO B </t>
        </is>
      </c>
      <c r="I14" s="18" t="inlineStr">
        <is>
          <t>SKU DUPLICADO Y DOCUMENTACION ERRONEA</t>
        </is>
      </c>
      <c r="J14" s="19" t="n"/>
      <c r="K14" s="9" t="n"/>
    </row>
    <row r="15">
      <c r="A15" s="16" t="inlineStr">
        <is>
          <t>SANTA RITA</t>
        </is>
      </c>
      <c r="B15" s="16" t="inlineStr">
        <is>
          <t>LATIN FRUITS</t>
        </is>
      </c>
      <c r="C15" s="17" t="n">
        <v>6178</v>
      </c>
      <c r="D15" s="33" t="n">
        <v>46126</v>
      </c>
      <c r="E15" s="16" t="inlineStr">
        <is>
          <t>RECEPCION</t>
        </is>
      </c>
      <c r="F15" s="16" t="inlineStr">
        <is>
          <t>YESIKA RUIZ</t>
        </is>
      </c>
      <c r="G15" s="18" t="inlineStr">
        <is>
          <t>PRODUCTO O SKU DUPLICADO.</t>
        </is>
      </c>
      <c r="H15" s="16" t="inlineStr">
        <is>
          <t xml:space="preserve">TIPO B </t>
        </is>
      </c>
      <c r="I15" s="18" t="inlineStr">
        <is>
          <t>SKU DUPLICADO</t>
        </is>
      </c>
      <c r="J15" s="19" t="n"/>
      <c r="K15" s="9" t="n"/>
    </row>
    <row r="16">
      <c r="A16" s="16" t="inlineStr">
        <is>
          <t>SANTA RITA</t>
        </is>
      </c>
      <c r="B16" s="16" t="inlineStr">
        <is>
          <t>PROVEFRU</t>
        </is>
      </c>
      <c r="C16" s="17" t="n">
        <v>21685</v>
      </c>
      <c r="D16" s="33" t="n">
        <v>46127</v>
      </c>
      <c r="E16" s="16" t="inlineStr">
        <is>
          <t>RECEPCION</t>
        </is>
      </c>
      <c r="F16" s="16" t="inlineStr">
        <is>
          <t>YESIKA RUIZ</t>
        </is>
      </c>
      <c r="G16" s="18" t="inlineStr">
        <is>
          <t>PRODUCTO O SKU DUPLICADO.</t>
        </is>
      </c>
      <c r="H16" s="16" t="inlineStr">
        <is>
          <t xml:space="preserve">TIPO C </t>
        </is>
      </c>
      <c r="I16" s="18" t="inlineStr">
        <is>
          <t>SKU DUPLICADO</t>
        </is>
      </c>
      <c r="J16" s="19" t="n"/>
      <c r="K16" s="9" t="n"/>
    </row>
    <row r="17" ht="29.15" customHeight="1">
      <c r="A17" s="16" t="inlineStr">
        <is>
          <t>SANTA RITA</t>
        </is>
      </c>
      <c r="B17" s="16" t="inlineStr">
        <is>
          <t>R3</t>
        </is>
      </c>
      <c r="C17" s="17" t="inlineStr">
        <is>
          <t>L19971404226</t>
        </is>
      </c>
      <c r="D17" s="33" t="n">
        <v>46127</v>
      </c>
      <c r="E17" s="16" t="inlineStr">
        <is>
          <t>RECEPCION</t>
        </is>
      </c>
      <c r="F17" s="16" t="inlineStr">
        <is>
          <t>YESIKA RUIZ</t>
        </is>
      </c>
      <c r="G17" s="18" t="inlineStr">
        <is>
          <t>PRODUCTO O SKU NO PERTENECE A LA RECEPCIÓN.</t>
        </is>
      </c>
      <c r="H17" s="16" t="inlineStr">
        <is>
          <t xml:space="preserve">TIPO C </t>
        </is>
      </c>
      <c r="I17" s="18" t="inlineStr">
        <is>
          <t>ERROR EN SKU NO PERTENECE A LA RECEPCION</t>
        </is>
      </c>
      <c r="J17" s="19" t="n"/>
      <c r="K17" s="9" t="n"/>
    </row>
    <row r="18" ht="29.15" customHeight="1">
      <c r="A18" s="16" t="inlineStr">
        <is>
          <t>SANTA RITA</t>
        </is>
      </c>
      <c r="B18" s="16" t="inlineStr">
        <is>
          <t>R3</t>
        </is>
      </c>
      <c r="C18" s="17" t="inlineStr">
        <is>
          <t>L19831404026</t>
        </is>
      </c>
      <c r="D18" s="33" t="n">
        <v>46127</v>
      </c>
      <c r="E18" s="16" t="inlineStr">
        <is>
          <t>RECEPCION</t>
        </is>
      </c>
      <c r="F18" s="16" t="inlineStr">
        <is>
          <t>YESIKA RUIZ</t>
        </is>
      </c>
      <c r="G18" s="18" t="inlineStr">
        <is>
          <t>PRODUCTO O SKU NO PERTENECE A LA RECEPCIÓN.</t>
        </is>
      </c>
      <c r="H18" s="16" t="inlineStr">
        <is>
          <t xml:space="preserve">TIPO C </t>
        </is>
      </c>
      <c r="I18" s="18" t="inlineStr">
        <is>
          <t>ERROR EN SKU NO PERTENECE A LA RECEPCION</t>
        </is>
      </c>
      <c r="J18" s="19" t="n"/>
      <c r="K18" s="9" t="n"/>
    </row>
    <row r="19">
      <c r="A19" s="16" t="inlineStr">
        <is>
          <t>SANTA RITA</t>
        </is>
      </c>
      <c r="B19" s="16" t="inlineStr">
        <is>
          <t>CONDI ANDES</t>
        </is>
      </c>
      <c r="C19" s="17" t="n">
        <v>741</v>
      </c>
      <c r="D19" s="33" t="n">
        <v>46128</v>
      </c>
      <c r="E19" s="16" t="inlineStr">
        <is>
          <t>RECEPCION</t>
        </is>
      </c>
      <c r="F19" s="16" t="inlineStr">
        <is>
          <t>YESIKA RUIZ</t>
        </is>
      </c>
      <c r="G19" s="18" t="inlineStr">
        <is>
          <t>PRODUCTO O SKU DUPLICADO.</t>
        </is>
      </c>
      <c r="H19" s="16" t="inlineStr">
        <is>
          <t>TIPO C</t>
        </is>
      </c>
      <c r="I19" s="18" t="inlineStr">
        <is>
          <t>PRODUCTO DUPLICADO</t>
        </is>
      </c>
      <c r="J19" s="19" t="n"/>
      <c r="K19" s="9" t="n"/>
    </row>
    <row r="20" ht="15.45" customHeight="1">
      <c r="A20" s="16" t="inlineStr">
        <is>
          <t>SANTA RITA</t>
        </is>
      </c>
      <c r="B20" s="16" t="inlineStr">
        <is>
          <t>VICAR</t>
        </is>
      </c>
      <c r="C20" s="17" t="n">
        <v>13440</v>
      </c>
      <c r="D20" s="33" t="n">
        <v>46129</v>
      </c>
      <c r="E20" s="16" t="inlineStr">
        <is>
          <t>RECEPCION</t>
        </is>
      </c>
      <c r="F20" s="16" t="inlineStr">
        <is>
          <t>HEDI ROA</t>
        </is>
      </c>
      <c r="G20" s="20" t="inlineStr">
        <is>
          <t>DOCUMENTACIÓN ERRÓNEA</t>
        </is>
      </c>
      <c r="H20" s="16" t="inlineStr">
        <is>
          <t xml:space="preserve">TIPO B </t>
        </is>
      </c>
      <c r="I20" s="20" t="inlineStr">
        <is>
          <t xml:space="preserve">ERROR EN DOCUMENTACION </t>
        </is>
      </c>
      <c r="J20" s="19" t="n"/>
      <c r="K20" s="9" t="n"/>
    </row>
    <row r="21" ht="29.15" customHeight="1">
      <c r="A21" s="18" t="inlineStr">
        <is>
          <t>MORA</t>
        </is>
      </c>
      <c r="B21" s="18" t="inlineStr">
        <is>
          <t>VICAR</t>
        </is>
      </c>
      <c r="C21" s="21" t="n">
        <v>13462</v>
      </c>
      <c r="D21" s="34" t="n">
        <v>46132</v>
      </c>
      <c r="E21" s="18" t="inlineStr">
        <is>
          <t>RECEPCION</t>
        </is>
      </c>
      <c r="F21" s="18" t="inlineStr">
        <is>
          <t>HEDI ROA</t>
        </is>
      </c>
      <c r="G21" s="18" t="inlineStr">
        <is>
          <t>NO FISCALIZÓ UNO O VARIOS PRODUCTOS</t>
        </is>
      </c>
      <c r="H21" s="18" t="inlineStr">
        <is>
          <t>TIPO C</t>
        </is>
      </c>
      <c r="I21" s="18" t="inlineStr">
        <is>
          <t>FALTO PONER SKU CILANTRO 4.8KG, PAPA 21.6KG</t>
        </is>
      </c>
      <c r="J21" s="37" t="n">
        <v>26.52</v>
      </c>
      <c r="K21" s="9" t="n"/>
    </row>
    <row r="22">
      <c r="A22" s="16" t="inlineStr">
        <is>
          <t>MORA</t>
        </is>
      </c>
      <c r="B22" s="16" t="inlineStr">
        <is>
          <t>CAVA LUXOR</t>
        </is>
      </c>
      <c r="C22" s="17" t="n">
        <v>8572</v>
      </c>
      <c r="D22" s="33" t="n">
        <v>46133</v>
      </c>
      <c r="E22" s="16" t="inlineStr">
        <is>
          <t>DEVOLUCION</t>
        </is>
      </c>
      <c r="F22" s="16" t="inlineStr">
        <is>
          <t>JOHANA GUTIERRZ</t>
        </is>
      </c>
      <c r="G22" s="18" t="inlineStr">
        <is>
          <t>DOCUMENTACIÓN ERRÓNEA</t>
        </is>
      </c>
      <c r="H22" s="16" t="inlineStr">
        <is>
          <t xml:space="preserve">TIPO B </t>
        </is>
      </c>
      <c r="I22" s="18" t="inlineStr">
        <is>
          <t xml:space="preserve">ERROR EN DOCUMENTACION </t>
        </is>
      </c>
      <c r="J22" s="19" t="n"/>
      <c r="K22" s="9" t="n"/>
    </row>
    <row r="23">
      <c r="A23" s="16" t="inlineStr">
        <is>
          <t>SANTA RITA</t>
        </is>
      </c>
      <c r="B23" s="16" t="inlineStr">
        <is>
          <t>ALIMENTOS POLAR</t>
        </is>
      </c>
      <c r="C23" s="17" t="n">
        <v>7242083259</v>
      </c>
      <c r="D23" s="33" t="n">
        <v>46133</v>
      </c>
      <c r="E23" s="16" t="inlineStr">
        <is>
          <t>RECEPCION</t>
        </is>
      </c>
      <c r="F23" s="16" t="inlineStr">
        <is>
          <t>DANIEL BLANCO</t>
        </is>
      </c>
      <c r="G23" s="18" t="inlineStr">
        <is>
          <t>FALTA SELLO, FIRMA O CÉDULA.</t>
        </is>
      </c>
      <c r="H23" s="16" t="inlineStr">
        <is>
          <t>TIPO A</t>
        </is>
      </c>
      <c r="I23" s="18" t="inlineStr">
        <is>
          <t xml:space="preserve">FALTO FIRMA DE GERENCIA </t>
        </is>
      </c>
      <c r="J23" s="19" t="n"/>
      <c r="K23" s="9" t="n"/>
    </row>
    <row r="24">
      <c r="A24" s="16" t="inlineStr">
        <is>
          <t>SANTA RITA</t>
        </is>
      </c>
      <c r="B24" s="16" t="inlineStr">
        <is>
          <t>CAVA LUXOR</t>
        </is>
      </c>
      <c r="C24" s="17" t="n">
        <v>106514</v>
      </c>
      <c r="D24" s="33" t="n">
        <v>46133</v>
      </c>
      <c r="E24" s="16" t="inlineStr">
        <is>
          <t>DEVOLUCION</t>
        </is>
      </c>
      <c r="F24" s="16" t="inlineStr">
        <is>
          <t>DANIEL BLANCO</t>
        </is>
      </c>
      <c r="G24" s="18" t="inlineStr">
        <is>
          <t>FALTA SELLO, FIRMA O CÉDULA.</t>
        </is>
      </c>
      <c r="H24" s="16" t="inlineStr">
        <is>
          <t xml:space="preserve">TIPO A </t>
        </is>
      </c>
      <c r="I24" s="18" t="inlineStr">
        <is>
          <t xml:space="preserve">FALTO FIRMA DE GERENCIA </t>
        </is>
      </c>
      <c r="J24" s="19" t="n"/>
      <c r="K24" s="9" t="n"/>
    </row>
    <row r="25" ht="29.15" customHeight="1">
      <c r="A25" s="16" t="inlineStr">
        <is>
          <t>SANTA RITA</t>
        </is>
      </c>
      <c r="B25" s="16" t="inlineStr">
        <is>
          <t>TUNAL</t>
        </is>
      </c>
      <c r="C25" s="17" t="n">
        <v>118308</v>
      </c>
      <c r="D25" s="33" t="n">
        <v>46134</v>
      </c>
      <c r="E25" s="16" t="inlineStr">
        <is>
          <t>RECEPCION</t>
        </is>
      </c>
      <c r="F25" s="16" t="inlineStr">
        <is>
          <t>JOHNNY RAMOS</t>
        </is>
      </c>
      <c r="G25" s="18" t="inlineStr">
        <is>
          <t>PRODUCTO O SKU NO PERTENECE A LA RECEPCIÓN.</t>
        </is>
      </c>
      <c r="H25" s="16" t="inlineStr">
        <is>
          <t>TIPO C</t>
        </is>
      </c>
      <c r="I25" s="18" t="inlineStr">
        <is>
          <t>VARIOS PRODUCTOS NO PERTENECEN A LA FACTURA</t>
        </is>
      </c>
      <c r="J25" s="19" t="n"/>
      <c r="K25" s="9" t="n"/>
    </row>
    <row r="26" ht="29.15" customHeight="1">
      <c r="A26" s="16" t="inlineStr">
        <is>
          <t>MORA</t>
        </is>
      </c>
      <c r="B26" s="16" t="inlineStr">
        <is>
          <t>VICAR</t>
        </is>
      </c>
      <c r="C26" s="17" t="n">
        <v>13484</v>
      </c>
      <c r="D26" s="33" t="n">
        <v>46135</v>
      </c>
      <c r="E26" s="16" t="inlineStr">
        <is>
          <t>RECEPCION</t>
        </is>
      </c>
      <c r="F26" s="16" t="inlineStr">
        <is>
          <t>JOSBEIKER ROJAS</t>
        </is>
      </c>
      <c r="G26" s="18" t="inlineStr">
        <is>
          <t>NO SE INDICÓ DIFERENCIA AL DORSO DE LA FACTURA.</t>
        </is>
      </c>
      <c r="H26" s="16" t="inlineStr">
        <is>
          <t>TIPO D</t>
        </is>
      </c>
      <c r="I26" s="18" t="inlineStr">
        <is>
          <t>SE FACTURA 0.6GRS DE MAS DE LECHUGA AMERICANA POR ERROR DE TRANSCRIPTOR EL CUAL EL MISMO CANCELA DIFERENCIA</t>
        </is>
      </c>
      <c r="J26" s="22" t="n">
        <v>0.61</v>
      </c>
      <c r="K26" s="9" t="inlineStr">
        <is>
          <t>14568</t>
        </is>
      </c>
    </row>
    <row r="27">
      <c r="A27" s="16" t="inlineStr">
        <is>
          <t>MORA</t>
        </is>
      </c>
      <c r="B27" s="16" t="inlineStr">
        <is>
          <t>PEPSICO</t>
        </is>
      </c>
      <c r="C27" s="17" t="n">
        <v>201247337</v>
      </c>
      <c r="D27" s="33" t="n">
        <v>46136</v>
      </c>
      <c r="E27" s="16" t="inlineStr">
        <is>
          <t>RECEPCION</t>
        </is>
      </c>
      <c r="F27" s="16" t="inlineStr">
        <is>
          <t>JOHANA GUTIERRZ</t>
        </is>
      </c>
      <c r="G27" s="18" t="inlineStr">
        <is>
          <t>FALTA SELLO, FIRMA O CÉDULA.</t>
        </is>
      </c>
      <c r="H27" s="16" t="inlineStr">
        <is>
          <t xml:space="preserve">TIPO A </t>
        </is>
      </c>
      <c r="I27" s="18" t="inlineStr">
        <is>
          <t xml:space="preserve">FALTO FIRMA DE GERENCIA </t>
        </is>
      </c>
      <c r="J27" s="19" t="n"/>
      <c r="K27" s="9" t="n"/>
    </row>
    <row r="28">
      <c r="A28" s="16" t="inlineStr">
        <is>
          <t>MORA</t>
        </is>
      </c>
      <c r="B28" s="16" t="inlineStr">
        <is>
          <t>PEPSICO</t>
        </is>
      </c>
      <c r="C28" s="17" t="n">
        <v>201247336</v>
      </c>
      <c r="D28" s="33" t="n">
        <v>46136</v>
      </c>
      <c r="E28" s="16" t="inlineStr">
        <is>
          <t>RECEPCION</t>
        </is>
      </c>
      <c r="F28" s="16" t="inlineStr">
        <is>
          <t>JOHANA GUTIERRZ</t>
        </is>
      </c>
      <c r="G28" s="18" t="inlineStr">
        <is>
          <t>FALTA SELLO, FIRMA O CÉDULA.</t>
        </is>
      </c>
      <c r="H28" s="16" t="inlineStr">
        <is>
          <t xml:space="preserve">TIPO A </t>
        </is>
      </c>
      <c r="I28" s="18" t="inlineStr">
        <is>
          <t xml:space="preserve">FALTO FIRMA DE GERENCIA </t>
        </is>
      </c>
      <c r="J28" s="19" t="n"/>
      <c r="K28" s="9" t="n"/>
    </row>
    <row r="29">
      <c r="A29" s="16" t="inlineStr">
        <is>
          <t>MORA</t>
        </is>
      </c>
      <c r="B29" s="16" t="inlineStr">
        <is>
          <t>PEPSICO</t>
        </is>
      </c>
      <c r="C29" s="17" t="n">
        <v>201247338</v>
      </c>
      <c r="D29" s="33" t="n">
        <v>46136</v>
      </c>
      <c r="E29" s="16" t="inlineStr">
        <is>
          <t>RECEPCION</t>
        </is>
      </c>
      <c r="F29" s="16" t="inlineStr">
        <is>
          <t>JOHANA GUTIERRZ</t>
        </is>
      </c>
      <c r="G29" s="18" t="inlineStr">
        <is>
          <t>FALTA SELLO, FIRMA O CÉDULA.</t>
        </is>
      </c>
      <c r="H29" s="16" t="inlineStr">
        <is>
          <t xml:space="preserve">TIPO A </t>
        </is>
      </c>
      <c r="I29" s="18" t="inlineStr">
        <is>
          <t xml:space="preserve">FALTO FIRMA DE GERENCIA </t>
        </is>
      </c>
      <c r="J29" s="19" t="n"/>
      <c r="K29" s="9" t="n"/>
    </row>
    <row r="30">
      <c r="A30" s="16" t="inlineStr">
        <is>
          <t>SANTA RITA</t>
        </is>
      </c>
      <c r="B30" s="16" t="inlineStr">
        <is>
          <t>PATRONAS</t>
        </is>
      </c>
      <c r="C30" s="17" t="n">
        <v>540</v>
      </c>
      <c r="D30" s="33" t="n">
        <v>46136</v>
      </c>
      <c r="E30" s="16" t="inlineStr">
        <is>
          <t>RECEPCION</t>
        </is>
      </c>
      <c r="F30" s="16" t="inlineStr">
        <is>
          <t>ANDRES SALAS</t>
        </is>
      </c>
      <c r="G30" s="18" t="inlineStr">
        <is>
          <t>ERROR DE KG EN TARA.</t>
        </is>
      </c>
      <c r="H30" s="16" t="inlineStr">
        <is>
          <t>TIPO C</t>
        </is>
      </c>
      <c r="I30" s="18" t="inlineStr">
        <is>
          <t>ERROR EN CUENTA DE TARA Y SE FACTURAN 1.4KG MAS DE MELON</t>
        </is>
      </c>
      <c r="J30" s="22" t="n">
        <v>2</v>
      </c>
      <c r="K30" s="9" t="inlineStr">
        <is>
          <t>00001989</t>
        </is>
      </c>
    </row>
    <row r="31">
      <c r="A31" s="23" t="inlineStr">
        <is>
          <t>SANTA RITA</t>
        </is>
      </c>
      <c r="B31" s="23" t="inlineStr">
        <is>
          <t>JOSE PUIG</t>
        </is>
      </c>
      <c r="C31" s="24" t="n">
        <v>1851984</v>
      </c>
      <c r="D31" s="25" t="n">
        <v>46137</v>
      </c>
      <c r="E31" s="23" t="inlineStr">
        <is>
          <t>RECEPCION</t>
        </is>
      </c>
      <c r="F31" s="23" t="inlineStr">
        <is>
          <t>YESIKA RUIZ</t>
        </is>
      </c>
      <c r="G31" t="inlineStr">
        <is>
          <t>PRODUCTO O SKU NO PERTENECE A LA RECEPCIÓN.</t>
        </is>
      </c>
      <c r="H31">
        <f>IF(G31="","",VLOOKUP(G31,[1]REFERENCIA!$A$1:$B$14,2,0))</f>
        <v/>
      </c>
      <c r="I31" s="26" t="inlineStr">
        <is>
          <t xml:space="preserve">PRODUCTO ESTA MAL CARGADO EN ORDEN DE COMPRA Y NO SE RECIBE </t>
        </is>
      </c>
      <c r="K31" s="9" t="n"/>
    </row>
    <row r="32" ht="29.15" customHeight="1">
      <c r="A32" s="23" t="inlineStr">
        <is>
          <t>MORA</t>
        </is>
      </c>
      <c r="B32" s="23" t="inlineStr">
        <is>
          <t>CAVA LUXOR</t>
        </is>
      </c>
      <c r="C32" s="24" t="n">
        <v>1818</v>
      </c>
      <c r="D32" s="25" t="n">
        <v>46139</v>
      </c>
      <c r="E32" s="23" t="inlineStr">
        <is>
          <t>RECEPCION</t>
        </is>
      </c>
      <c r="F32" s="23" t="inlineStr">
        <is>
          <t>YOSMARY VILLANUEVA</t>
        </is>
      </c>
      <c r="G32" s="27" t="inlineStr">
        <is>
          <t>PRODUCTO O SKU NO PERTENECE A LA RECEPCIÓN.</t>
        </is>
      </c>
      <c r="H32">
        <f>IF(G32="","",VLOOKUP(G32,[1]REFERENCIA!$A$1:$B$14,2,0))</f>
        <v/>
      </c>
      <c r="I32" s="26" t="inlineStr">
        <is>
          <t>PRODUCTO NO PERTENECE A LA RECEPCION</t>
        </is>
      </c>
      <c r="K32" s="28" t="n"/>
    </row>
    <row r="33">
      <c r="A33" s="23" t="inlineStr">
        <is>
          <t>SANTA RITA</t>
        </is>
      </c>
      <c r="B33" s="23" t="inlineStr">
        <is>
          <t>DIABLITOS</t>
        </is>
      </c>
      <c r="C33" s="24" t="n">
        <v>610211463</v>
      </c>
      <c r="D33" s="25" t="n">
        <v>46139</v>
      </c>
      <c r="E33" s="23" t="inlineStr">
        <is>
          <t>RECEPCION</t>
        </is>
      </c>
      <c r="F33" s="23" t="inlineStr">
        <is>
          <t>JOHNNY RAMOS</t>
        </is>
      </c>
      <c r="G33" t="inlineStr">
        <is>
          <t>DOCUMENTO NO LEGIBLE</t>
        </is>
      </c>
      <c r="H33">
        <f>IF(G33="","",VLOOKUP(G33,[1]REFERENCIA!$A$1:$B$14,2,0))</f>
        <v/>
      </c>
      <c r="I33" s="26" t="inlineStr">
        <is>
          <t>SE PIDE CAMBIO DE IMAGEN YA QUE SE VE BORROSA</t>
        </is>
      </c>
      <c r="K33" s="28" t="n"/>
    </row>
    <row r="34" ht="43.75" customHeight="1">
      <c r="A34" s="23" t="inlineStr">
        <is>
          <t>MORA</t>
        </is>
      </c>
      <c r="B34" s="23" t="inlineStr">
        <is>
          <t>JEANDAVID</t>
        </is>
      </c>
      <c r="C34" s="24" t="n">
        <v>30861</v>
      </c>
      <c r="D34" s="25" t="n">
        <v>46139</v>
      </c>
      <c r="E34" s="23" t="inlineStr">
        <is>
          <t>DEVOLUCION</t>
        </is>
      </c>
      <c r="F34" s="23" t="inlineStr">
        <is>
          <t>YOSMARY VILLANUEVA</t>
        </is>
      </c>
      <c r="G34" s="27" t="inlineStr">
        <is>
          <t>NO FISCALIZÓ UNO O VARIOS PRODUCTOS</t>
        </is>
      </c>
      <c r="H34">
        <f>IF(G34="","",VLOOKUP(G34,[1]REFERENCIA!$A$1:$B$14,2,0))</f>
        <v/>
      </c>
      <c r="I34" s="29" t="inlineStr">
        <is>
          <t>EL PERSONAL DE INVENTARIO NO INGRESA PEREJIL LISO A LA DEVOLUCION HE IGUAL SE LO ENTREGAN EL CUAL GERENCIA LE SOLICITA PAGAR EL PRODUCTO</t>
        </is>
      </c>
      <c r="J34" s="36" t="n">
        <v>1.62</v>
      </c>
      <c r="K34" s="28" t="inlineStr">
        <is>
          <t>00015267</t>
        </is>
      </c>
    </row>
    <row r="35">
      <c r="A35" s="23" t="inlineStr">
        <is>
          <t>SANTA RITA</t>
        </is>
      </c>
      <c r="B35" s="23" t="inlineStr">
        <is>
          <t>VICAR</t>
        </is>
      </c>
      <c r="C35" s="24" t="n">
        <v>13545</v>
      </c>
      <c r="D35" s="25" t="n">
        <v>46141</v>
      </c>
      <c r="E35" s="23" t="inlineStr">
        <is>
          <t>RECEPCION</t>
        </is>
      </c>
      <c r="F35" s="23" t="inlineStr">
        <is>
          <t>JOHNNY RAMOS</t>
        </is>
      </c>
      <c r="G35" t="inlineStr">
        <is>
          <t>ERROR DE KG EN TARA.</t>
        </is>
      </c>
      <c r="H35">
        <f>IF(G35="","",VLOOKUP(G35,REFERENCIA!$A$1:$B$15,2,0))</f>
        <v/>
      </c>
      <c r="I35" s="35" t="inlineStr">
        <is>
          <t>ERROR AL NO COLOCAR TARA DEL HTL0030</t>
        </is>
      </c>
    </row>
    <row r="36">
      <c r="A36" s="23" t="inlineStr">
        <is>
          <t>MORA</t>
        </is>
      </c>
      <c r="B36" s="23" t="inlineStr">
        <is>
          <t>SALINERA</t>
        </is>
      </c>
      <c r="C36" s="24" t="n">
        <v>53076</v>
      </c>
      <c r="D36" s="25" t="n">
        <v>46142</v>
      </c>
      <c r="E36" s="23" t="inlineStr">
        <is>
          <t>RECEPCION</t>
        </is>
      </c>
      <c r="F36" s="23" t="inlineStr">
        <is>
          <t>JOSBEIKER ROJAS</t>
        </is>
      </c>
      <c r="G36" t="inlineStr">
        <is>
          <t>DOCUMENTACIÓN ERRÓNEA</t>
        </is>
      </c>
      <c r="H36">
        <f>IF(G36="","",VLOOKUP(G36,REFERENCIA!$A$1:$B$15,2,0))</f>
        <v/>
      </c>
      <c r="I36" s="35" t="inlineStr">
        <is>
          <t xml:space="preserve">ERROR AL CARGAR FOTO AL DORSO </t>
        </is>
      </c>
    </row>
    <row r="37">
      <c r="A37" s="23" t="inlineStr">
        <is>
          <t>MORA</t>
        </is>
      </c>
      <c r="B37" s="23" t="inlineStr">
        <is>
          <t>JOSE PUIG</t>
        </is>
      </c>
      <c r="C37" s="24" t="n">
        <v>1853893</v>
      </c>
      <c r="D37" s="25" t="n">
        <v>46142</v>
      </c>
      <c r="E37" s="23" t="inlineStr">
        <is>
          <t>RECEPCION</t>
        </is>
      </c>
      <c r="F37" s="23" t="inlineStr">
        <is>
          <t>ANDRES SALAS</t>
        </is>
      </c>
      <c r="G37" t="inlineStr">
        <is>
          <t>PRODUCTO O SKU NO PERTENECE A LA RECEPCIÓN.</t>
        </is>
      </c>
      <c r="H37">
        <f>IF(G37="","",VLOOKUP(G37,REFERENCIA!$A$1:$B$15,2,0))</f>
        <v/>
      </c>
      <c r="I37" s="35" t="inlineStr">
        <is>
          <t>ERROR AL CARGAR SKU NO CORRESPONDIENTE A LA RECEPCION</t>
        </is>
      </c>
    </row>
    <row r="38">
      <c r="A38" s="23" t="inlineStr">
        <is>
          <t>MORA</t>
        </is>
      </c>
      <c r="B38" s="23" t="inlineStr">
        <is>
          <t>JOSE PUIG</t>
        </is>
      </c>
      <c r="C38" s="24" t="n">
        <v>1853894</v>
      </c>
      <c r="D38" s="25" t="n">
        <v>46142</v>
      </c>
      <c r="E38" s="23" t="inlineStr">
        <is>
          <t>RECEPCION</t>
        </is>
      </c>
      <c r="F38" s="23" t="inlineStr">
        <is>
          <t>ANDRES SALAS</t>
        </is>
      </c>
      <c r="G38" t="inlineStr">
        <is>
          <t>PRODUCTO O SKU NO PERTENECE A LA RECEPCIÓN.</t>
        </is>
      </c>
      <c r="H38">
        <f>IF(G38="","",VLOOKUP(G38,REFERENCIA!$A$1:$B$15,2,0))</f>
        <v/>
      </c>
      <c r="I38" s="35" t="inlineStr">
        <is>
          <t>ERROR AL CARGAR SKU NO CORRESPONDIENTE A LA RECEPCION</t>
        </is>
      </c>
    </row>
    <row r="39">
      <c r="A39" s="23" t="inlineStr">
        <is>
          <t>SANTA RITA</t>
        </is>
      </c>
      <c r="B39" s="23" t="inlineStr">
        <is>
          <t>KC GLOBAL</t>
        </is>
      </c>
      <c r="C39" s="24" t="n">
        <v>6433</v>
      </c>
      <c r="D39" s="25" t="n">
        <v>46142</v>
      </c>
      <c r="E39" s="23" t="inlineStr">
        <is>
          <t>RECEPCION</t>
        </is>
      </c>
      <c r="F39" s="23" t="inlineStr">
        <is>
          <t>ANDRES SALAS</t>
        </is>
      </c>
      <c r="G39" t="inlineStr">
        <is>
          <t>PRODUCTO O SKU DUPLICADO.</t>
        </is>
      </c>
      <c r="H39">
        <f>IF(G39="","",VLOOKUP(G39,REFERENCIA!$A$1:$B$15,2,0))</f>
        <v/>
      </c>
      <c r="I39" s="35" t="inlineStr">
        <is>
          <t>ERROR EN SKU DUPLICADO HTL8475</t>
        </is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2026-06-08T11:13:12Z</dcterms:modified>
  <cp:lastModifiedBy>Admin</cp:lastModifiedBy>
</cp:coreProperties>
</file>