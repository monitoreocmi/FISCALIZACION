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AA831B5E-E999-43B7-84F1-3B1817EE75F0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4" i="1" l="1"/>
  <c r="H33" i="1"/>
  <c r="H32" i="1"/>
  <c r="H31" i="1"/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</calcChain>
</file>

<file path=xl/sharedStrings.xml><?xml version="1.0" encoding="utf-8"?>
<sst xmlns="http://schemas.openxmlformats.org/spreadsheetml/2006/main" count="306" uniqueCount="107">
  <si>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</si>
  <si>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</si>
  <si>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</si>
  <si>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</si>
  <si>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</si>
  <si>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</si>
  <si>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</si>
  <si>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</si>
  <si>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</si>
  <si>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</si>
  <si>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</si>
  <si>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</si>
  <si>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</si>
  <si>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</si>
  <si>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</si>
  <si>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</si>
  <si>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</si>
  <si>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</si>
  <si>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</si>
  <si>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</si>
  <si>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</si>
  <si>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</si>
  <si>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</si>
  <si>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</si>
  <si>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</si>
  <si>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</si>
  <si>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</si>
  <si>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</si>
  <si>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</si>
  <si>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</si>
  <si>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</si>
  <si>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MUNCHY</t>
  </si>
  <si>
    <t>afac000024499</t>
  </si>
  <si>
    <t>RECEPCION</t>
  </si>
  <si>
    <t>JOSBEIKER ROJAS</t>
  </si>
  <si>
    <t xml:space="preserve">TIPO B </t>
  </si>
  <si>
    <t xml:space="preserve">ERROR EN SKU DUPLICADO </t>
  </si>
  <si>
    <t>CAVA LUXOR</t>
  </si>
  <si>
    <t>ERROR DE KG TARA.</t>
  </si>
  <si>
    <t>ERROR EN CARGAR SKU DE UN PAN INCORRECTO Y ERROR DETRANSCRIPTOR CONFUNDIR RECEPCION</t>
  </si>
  <si>
    <t>SANTA RITA</t>
  </si>
  <si>
    <t>PATRONAS</t>
  </si>
  <si>
    <t>DEVOLUCION</t>
  </si>
  <si>
    <t>YESIKA RUIZ</t>
  </si>
  <si>
    <t>ERROR EN PRODUCTO NO SALE EN LA DEVOLUCION</t>
  </si>
  <si>
    <t>ALIMENTOS VALES DE ARAGUA</t>
  </si>
  <si>
    <t>ERROR EN PRODUCTO NO PERTENECE A LA RECEPCIO</t>
  </si>
  <si>
    <t>LATIN FRUITS</t>
  </si>
  <si>
    <t>HEDI ROA</t>
  </si>
  <si>
    <t>CARGO DOCUMENTACION AL DORSO CON 10KG MAS DE AGUACATE</t>
  </si>
  <si>
    <t>00013161</t>
  </si>
  <si>
    <t>ERROR EN DOCUMENTO AGREGADO</t>
  </si>
  <si>
    <t>EMBOTELLADORA DEL CENTRO</t>
  </si>
  <si>
    <t>ERRO EN SKU DUPLICADO TE CON LIMON 1.5</t>
  </si>
  <si>
    <t>MUSASEUM</t>
  </si>
  <si>
    <t xml:space="preserve">ERROR AL COLOCAR IMAGEN DISTORSIONADA, SE PONE LA IMAGEN DE AMBERSO IGUALMENTE AL DORSO, DOCUMENTAN SIN IMAGEN </t>
  </si>
  <si>
    <t xml:space="preserve">TIPO A  </t>
  </si>
  <si>
    <t>FALTA FIRMA DE GERENCIA</t>
  </si>
  <si>
    <t>ERROR AL NO CARGAR TARA 5.6kg</t>
  </si>
  <si>
    <t>MOSCASA</t>
  </si>
  <si>
    <t>ERROR AL CARGAR DOCUMENTO</t>
  </si>
  <si>
    <t>COCA COLA</t>
  </si>
  <si>
    <t>31fp9525260</t>
  </si>
  <si>
    <t>JOHANA GUTIERRZ</t>
  </si>
  <si>
    <t>SKU DUPLICADO BEB5630</t>
  </si>
  <si>
    <t>PEPSICO</t>
  </si>
  <si>
    <t>SKU DUPLICADO Y DOCUMENTACION ERRONEA</t>
  </si>
  <si>
    <t>SKU DUPLICADO</t>
  </si>
  <si>
    <t>PROVEFRU</t>
  </si>
  <si>
    <t xml:space="preserve">TIPO C </t>
  </si>
  <si>
    <t>R3</t>
  </si>
  <si>
    <t>L19971404226</t>
  </si>
  <si>
    <t>ERROR EN SKU NO PERTENECE A LA RECEPCION</t>
  </si>
  <si>
    <t>L19831404026</t>
  </si>
  <si>
    <t>CONDI ANDES</t>
  </si>
  <si>
    <t>PRODUCTO DUPLICADO</t>
  </si>
  <si>
    <t>VICAR</t>
  </si>
  <si>
    <t xml:space="preserve">ERROR EN DOCUMENTACION </t>
  </si>
  <si>
    <t>FALTO PONER SKU CILANTRO 4.8KG, PAPA 21.6KG</t>
  </si>
  <si>
    <t>ALIMENTOS POLAR</t>
  </si>
  <si>
    <t>DANIEL BLANCO</t>
  </si>
  <si>
    <t xml:space="preserve">FALTO FIRMA DE GERENCIA </t>
  </si>
  <si>
    <t xml:space="preserve">TIPO A </t>
  </si>
  <si>
    <t>TUNAL</t>
  </si>
  <si>
    <t>JOHNNY RAMOS</t>
  </si>
  <si>
    <t>VARIOS PRODUCTOS NO PERTENECEN A LA FACTURA</t>
  </si>
  <si>
    <t>SE FACTURA 0.6GRS DE MAS DE LECHUGA AMERICANA POR ERROR DE TRANSCRIPTOR EL CUAL EL MISMO CANCELA DIFERENCIA</t>
  </si>
  <si>
    <t>ANDRES SALAS</t>
  </si>
  <si>
    <t>ERROR EN CUENTA DE TARA Y SE FACTURAN 1.4KG MAS DE MELON</t>
  </si>
  <si>
    <t>JOSE PUIG</t>
  </si>
  <si>
    <t xml:space="preserve">PRODUCTO ESTA MAL CARGADO EN ORDEN DE COMPRA Y NO SE RECIBE </t>
  </si>
  <si>
    <t>YOSMARY VILLANUEVA</t>
  </si>
  <si>
    <t>PRODUCTO NO PERTENECE A LA RECEPCION</t>
  </si>
  <si>
    <t>DIABLITOS</t>
  </si>
  <si>
    <t>SE PIDE CAMBIO DE IMAGEN YA QUE SE VE BORROSA</t>
  </si>
  <si>
    <t>JEANDAVID</t>
  </si>
  <si>
    <t>EL PERSONAL DE INVENTARIO NO INGRESA PEREJIL LISO A LA DEVOLUCION HE IGUAL SE LO ENTREGAN EL CUAL GERENCIA LE SOLICITA PAGAR EL PRODUCTO</t>
  </si>
  <si>
    <t>00015267</t>
  </si>
  <si>
    <t>ERROR AL NO COLOCAR TARA DEL HTL0030</t>
  </si>
  <si>
    <t>SALINERA</t>
  </si>
  <si>
    <t xml:space="preserve">ERROR AL CARGAR FOTO AL DORSO </t>
  </si>
  <si>
    <t>MORA</t>
  </si>
  <si>
    <t>ERROR AL CARGAR SKU NO CORRESPONDIENTE A LA RECEPCION</t>
  </si>
  <si>
    <t>KC GLOBAL</t>
  </si>
  <si>
    <t>ERROR EN SKU DUPLICADO HTL8475</t>
  </si>
  <si>
    <t>00001989</t>
  </si>
  <si>
    <t>14568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</si>
</sst>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</font>
    <font>
      <sz val="11"/>
      <color theme="1"/>
      <name val="Arial Rounded MT Bold"/>
      <family val="2"/>
    </font>
    <font>
      <sz val="12"/>
      <color rgb="FF1A202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49" fontId="0" fillId="0" borderId="1" xfId="0" applyNumberFormat="1" applyBorder="1"/>
    <xf numFmtId="49" fontId="0" fillId="0" borderId="1" xfId="0" applyNumberFormat="1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64" fontId="0" fillId="0" borderId="1" xfId="0" applyNumberFormat="1" applyFill="1" applyBorder="1"/>
    <xf numFmtId="0" fontId="0" fillId="0" borderId="1" xfId="0" applyFill="1" applyBorder="1" applyAlignment="1">
      <alignment horizontal="center" vertical="center" wrapText="1"/>
    </xf>
    <xf numFmtId="0" fontId="0" fillId="0" borderId="2" xfId="0" applyFill="1" applyBorder="1"/>
    <xf numFmtId="0" fontId="4" fillId="0" borderId="1" xfId="0" applyFont="1" applyFill="1" applyBorder="1" applyAlignment="1">
      <alignment wrapText="1"/>
    </xf>
    <xf numFmtId="164" fontId="0" fillId="0" borderId="1" xfId="0" applyNumberFormat="1" applyFill="1" applyBorder="1" applyAlignment="1">
      <alignment wrapText="1"/>
    </xf>
    <xf numFmtId="0" fontId="0" fillId="4" borderId="2" xfId="0" applyFill="1" applyBorder="1"/>
    <xf numFmtId="0" fontId="0" fillId="0" borderId="3" xfId="0" applyFill="1" applyBorder="1" applyAlignment="1">
      <alignment horizontal="center" vertical="center"/>
    </xf>
    <xf numFmtId="164" fontId="0" fillId="0" borderId="3" xfId="0" applyNumberFormat="1" applyFill="1" applyBorder="1"/>
    <xf numFmtId="14" fontId="0" fillId="0" borderId="0" xfId="0" applyNumberFormat="1"/>
    <xf numFmtId="0" fontId="0" fillId="0" borderId="3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49" fontId="0" fillId="0" borderId="0" xfId="0" applyNumberFormat="1"/>
    <xf numFmtId="0" fontId="0" fillId="0" borderId="0" xfId="0" applyAlignment="1">
      <alignment horizontal="center" wrapText="1"/>
    </xf>
    <xf numFmtId="14" fontId="1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4" borderId="0" xfId="0" applyFill="1"/>
    <xf numFmtId="0" fontId="0" fillId="0" borderId="2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2" name="CuadroTexto 221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3" name="CuadroTexto 222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4" name="CuadroTexto 223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5" name="CuadroTexto 224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6" name="CuadroTexto 225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7" name="CuadroTexto 226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8" name="CuadroTexto 227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9" name="CuadroTexto 228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0" name="CuadroTexto 229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1" name="CuadroTexto 230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2" name="CuadroTexto 231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3" name="CuadroTexto 232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4" name="CuadroTexto 233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5" name="CuadroTexto 234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6" name="CuadroTexto 235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7" name="CuadroTexto 236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8" name="CuadroTexto 237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9" name="CuadroTexto 238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0" name="CuadroTexto 239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41" name="CuadroTexto 240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42" name="CuadroTexto 241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43" name="CuadroTexto 242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44" name="CuadroTexto 243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45" name="CuadroTexto 244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46" name="CuadroTexto 245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7" name="CuadroTexto 246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8" name="CuadroTexto 247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49" name="CuadroTexto 248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50" name="CuadroTexto 249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1" name="CuadroTexto 250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52" name="CuadroTexto 251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3" name="CuadroTexto 252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4" name="CuadroTexto 253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5" name="CuadroTexto 254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6" name="CuadroTexto 255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7" name="CuadroTexto 256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8" name="CuadroTexto 257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9" name="CuadroTexto 258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0" name="CuadroTexto 259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1" name="CuadroTexto 260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2" name="CuadroTexto 261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3" name="CuadroTexto 262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4" name="CuadroTexto 263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5" name="CuadroTexto 264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6" name="CuadroTexto 265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7" name="CuadroTexto 266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68" name="CuadroTexto 267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9" name="CuadroTexto 268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70" name="CuadroTexto 269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71" name="CuadroTexto 270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2" name="CuadroTexto 271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3" name="CuadroTexto 272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4" name="CuadroTexto 273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5" name="CuadroTexto 274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76" name="CuadroTexto 275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77" name="CuadroTexto 276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78" name="CuadroTexto 277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79" name="CuadroTexto 278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80" name="CuadroTexto 279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81" name="CuadroTexto 280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82" name="CuadroTexto 281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3" name="CuadroTexto 282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4" name="CuadroTexto 283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5" name="CuadroTexto 284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6" name="CuadroTexto 285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7" name="CuadroTexto 286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8" name="CuadroTexto 287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9" name="CuadroTexto 288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0" name="CuadroTexto 289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1" name="CuadroTexto 290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2" name="CuadroTexto 291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3" name="CuadroTexto 292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4" name="CuadroTexto 293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5" name="CuadroTexto 294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6" name="CuadroTexto 295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7" name="CuadroTexto 296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8" name="CuadroTexto 297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9" name="CuadroTexto 298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0" name="CuadroTexto 299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1" name="CuadroTexto 300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2" name="CuadroTexto 301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3" name="CuadroTexto 302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4" name="CuadroTexto 303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05" name="CuadroTexto 304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06" name="CuadroTexto 305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7" name="CuadroTexto 306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08" name="CuadroTexto 307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09" name="CuadroTexto 308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0" name="CuadroTexto 309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1" name="CuadroTexto 310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2" name="CuadroTexto 311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3" name="CuadroTexto 312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4" name="CuadroTexto 313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5" name="CuadroTexto 314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6" name="CuadroTexto 315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7" name="CuadroTexto 316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8" name="CuadroTexto 317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9" name="CuadroTexto 318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20" name="CuadroTexto 319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21" name="CuadroTexto 320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22" name="CuadroTexto 321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3" name="CuadroTexto 322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4" name="CuadroTexto 323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5" name="CuadroTexto 324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6" name="CuadroTexto 325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7" name="CuadroTexto 326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8" name="CuadroTexto 327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9" name="CuadroTexto 328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0" name="CuadroTexto 329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1" name="CuadroTexto 330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2" name="CuadroTexto 331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3" name="CuadroTexto 332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4" name="CuadroTexto 333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5" name="CuadroTexto 334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6" name="CuadroTexto 335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7" name="CuadroTexto 336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8" name="CuadroTexto 337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9" name="CuadroTexto 338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0" name="CuadroTexto 339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1" name="CuadroTexto 340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2" name="CuadroTexto 341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3" name="CuadroTexto 342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4" name="CuadroTexto 343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5" name="CuadroTexto 344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6" name="CuadroTexto 345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7" name="CuadroTexto 346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8" name="CuadroTexto 347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9" name="CuadroTexto 348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0" name="CuadroTexto 349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1" name="CuadroTexto 350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2" name="CuadroTexto 351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3" name="CuadroTexto 352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4" name="CuadroTexto 353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5" name="CuadroTexto 354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6" name="CuadroTexto 355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7" name="CuadroTexto 356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8" name="CuadroTexto 357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9" name="CuadroTexto 358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0" name="CuadroTexto 359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1" name="CuadroTexto 360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2" name="CuadroTexto 361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3" name="CuadroTexto 362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4" name="CuadroTexto 363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5" name="CuadroTexto 364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6" name="CuadroTexto 365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7" name="CuadroTexto 366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8" name="CuadroTexto 367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9" name="CuadroTexto 368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0" name="CuadroTexto 369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1" name="CuadroTexto 370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2" name="CuadroTexto 371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3" name="CuadroTexto 372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4" name="CuadroTexto 373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5" name="CuadroTexto 374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6" name="CuadroTexto 375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7" name="CuadroTexto 376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8" name="CuadroTexto 377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9" name="CuadroTexto 378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0" name="CuadroTexto 379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1" name="CuadroTexto 380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2" name="CuadroTexto 381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3" name="CuadroTexto 382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4" name="CuadroTexto 383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5" name="CuadroTexto 384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6" name="CuadroTexto 385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7" name="CuadroTexto 386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8" name="CuadroTexto 387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9" name="CuadroTexto 388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0" name="CuadroTexto 389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1" name="CuadroTexto 390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2" name="CuadroTexto 391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3" name="CuadroTexto 392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4" name="CuadroTexto 393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5" name="CuadroTexto 394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6" name="CuadroTexto 395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7" name="CuadroTexto 396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8" name="CuadroTexto 397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9" name="CuadroTexto 398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ONITOR7/Desktop/Abril_Santa_Rita_Mo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zoomScale="55" zoomScaleNormal="55" workbookViewId="0">
      <selection activeCell="V11" sqref="V11"/>
    </sheetView>
  </sheetViews>
  <sheetFormatPr baseColWidth="10" defaultColWidth="8.921875" defaultRowHeight="14.6" x14ac:dyDescent="0.4"/>
  <cols>
    <col min="1" max="1" width="12" customWidth="1"/>
    <col min="2" max="2" width="16.23046875" customWidth="1"/>
    <col min="3" max="3" width="8.4609375" customWidth="1"/>
    <col min="4" max="4" width="6.84375" style="25" customWidth="1"/>
    <col min="5" max="5" width="12.69140625" customWidth="1"/>
    <col min="6" max="6" width="14.84375" customWidth="1"/>
    <col min="7" max="7" width="33.921875" customWidth="1"/>
    <col min="8" max="8" width="10.15234375" customWidth="1"/>
    <col min="9" max="9" width="63.61328125" bestFit="1" customWidth="1"/>
    <col min="10" max="11" width="8.07421875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30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9.15" x14ac:dyDescent="0.4">
      <c r="A2" s="2" t="s">
        <v>101</v>
      </c>
      <c r="B2" s="3" t="s">
        <v>31</v>
      </c>
      <c r="C2" s="4" t="s">
        <v>32</v>
      </c>
      <c r="D2" s="31">
        <v>46113</v>
      </c>
      <c r="E2" s="5" t="s">
        <v>33</v>
      </c>
      <c r="F2" s="6" t="s">
        <v>34</v>
      </c>
      <c r="G2" s="6" t="s">
        <v>18</v>
      </c>
      <c r="H2" s="7" t="s">
        <v>35</v>
      </c>
      <c r="I2" s="6" t="s">
        <v>36</v>
      </c>
      <c r="J2" s="8"/>
      <c r="K2" s="9"/>
    </row>
    <row r="3" spans="1:11" ht="29.15" x14ac:dyDescent="0.4">
      <c r="A3" s="2" t="s">
        <v>101</v>
      </c>
      <c r="B3" s="6" t="s">
        <v>37</v>
      </c>
      <c r="C3" s="4">
        <v>300011807</v>
      </c>
      <c r="D3" s="31">
        <v>46115</v>
      </c>
      <c r="E3" s="5" t="s">
        <v>33</v>
      </c>
      <c r="F3" s="6" t="s">
        <v>34</v>
      </c>
      <c r="G3" s="6" t="s">
        <v>38</v>
      </c>
      <c r="H3" s="7" t="s">
        <v>21</v>
      </c>
      <c r="I3" s="6" t="s">
        <v>39</v>
      </c>
      <c r="J3" s="8"/>
      <c r="K3" s="9"/>
    </row>
    <row r="4" spans="1:11" ht="29.15" x14ac:dyDescent="0.4">
      <c r="A4" s="2" t="s">
        <v>40</v>
      </c>
      <c r="B4" s="6" t="s">
        <v>41</v>
      </c>
      <c r="C4" s="4">
        <v>26799</v>
      </c>
      <c r="D4" s="31">
        <v>46116</v>
      </c>
      <c r="E4" s="5" t="s">
        <v>42</v>
      </c>
      <c r="F4" s="6" t="s">
        <v>43</v>
      </c>
      <c r="G4" s="6" t="s">
        <v>23</v>
      </c>
      <c r="H4" s="7" t="s">
        <v>21</v>
      </c>
      <c r="I4" s="6" t="s">
        <v>44</v>
      </c>
      <c r="J4" s="8"/>
      <c r="K4" s="9"/>
    </row>
    <row r="5" spans="1:11" ht="29.15" x14ac:dyDescent="0.4">
      <c r="A5" s="2" t="s">
        <v>40</v>
      </c>
      <c r="B5" s="6" t="s">
        <v>45</v>
      </c>
      <c r="C5" s="4">
        <v>9559</v>
      </c>
      <c r="D5" s="31">
        <v>46119</v>
      </c>
      <c r="E5" s="5" t="s">
        <v>33</v>
      </c>
      <c r="F5" s="6" t="s">
        <v>43</v>
      </c>
      <c r="G5" s="6" t="s">
        <v>23</v>
      </c>
      <c r="H5" s="7" t="s">
        <v>21</v>
      </c>
      <c r="I5" s="6" t="s">
        <v>46</v>
      </c>
      <c r="J5" s="8"/>
      <c r="K5" s="9"/>
    </row>
    <row r="6" spans="1:11" ht="29.15" x14ac:dyDescent="0.4">
      <c r="A6" s="10" t="s">
        <v>101</v>
      </c>
      <c r="B6" s="11" t="s">
        <v>47</v>
      </c>
      <c r="C6" s="12">
        <v>6073</v>
      </c>
      <c r="D6" s="32">
        <v>46118</v>
      </c>
      <c r="E6" s="13" t="s">
        <v>33</v>
      </c>
      <c r="F6" s="11" t="s">
        <v>48</v>
      </c>
      <c r="G6" s="11" t="s">
        <v>25</v>
      </c>
      <c r="H6" s="13" t="s">
        <v>26</v>
      </c>
      <c r="I6" s="11" t="s">
        <v>49</v>
      </c>
      <c r="J6" s="14">
        <v>28.9</v>
      </c>
      <c r="K6" s="9" t="s">
        <v>50</v>
      </c>
    </row>
    <row r="7" spans="1:11" ht="29.15" x14ac:dyDescent="0.4">
      <c r="A7" s="11" t="s">
        <v>101</v>
      </c>
      <c r="B7" s="11" t="s">
        <v>41</v>
      </c>
      <c r="C7" s="12">
        <v>422</v>
      </c>
      <c r="D7" s="32">
        <v>46120</v>
      </c>
      <c r="E7" s="13" t="s">
        <v>33</v>
      </c>
      <c r="F7" s="11" t="s">
        <v>34</v>
      </c>
      <c r="G7" s="11" t="s">
        <v>15</v>
      </c>
      <c r="H7" s="13" t="s">
        <v>35</v>
      </c>
      <c r="I7" s="11" t="s">
        <v>51</v>
      </c>
      <c r="J7" s="15"/>
      <c r="K7" s="9"/>
    </row>
    <row r="8" spans="1:11" ht="29.15" x14ac:dyDescent="0.4">
      <c r="A8" s="11" t="s">
        <v>101</v>
      </c>
      <c r="B8" s="11" t="s">
        <v>52</v>
      </c>
      <c r="C8" s="12">
        <v>6003896</v>
      </c>
      <c r="D8" s="32">
        <v>46120</v>
      </c>
      <c r="E8" s="13" t="s">
        <v>33</v>
      </c>
      <c r="F8" s="11" t="s">
        <v>34</v>
      </c>
      <c r="G8" s="11" t="s">
        <v>18</v>
      </c>
      <c r="H8" s="13" t="s">
        <v>35</v>
      </c>
      <c r="I8" s="11" t="s">
        <v>53</v>
      </c>
      <c r="J8" s="15"/>
      <c r="K8" s="9"/>
    </row>
    <row r="9" spans="1:11" ht="27" customHeight="1" x14ac:dyDescent="0.4">
      <c r="A9" s="10" t="s">
        <v>101</v>
      </c>
      <c r="B9" s="11" t="s">
        <v>54</v>
      </c>
      <c r="C9" s="12">
        <v>3822</v>
      </c>
      <c r="D9" s="32">
        <v>46122</v>
      </c>
      <c r="E9" s="13" t="s">
        <v>33</v>
      </c>
      <c r="F9" s="11" t="s">
        <v>48</v>
      </c>
      <c r="G9" s="11" t="s">
        <v>14</v>
      </c>
      <c r="H9" s="13" t="s">
        <v>12</v>
      </c>
      <c r="I9" s="11" t="s">
        <v>55</v>
      </c>
      <c r="J9" s="15"/>
      <c r="K9" s="9"/>
    </row>
    <row r="10" spans="1:11" x14ac:dyDescent="0.4">
      <c r="A10" s="11" t="s">
        <v>101</v>
      </c>
      <c r="B10" s="11" t="s">
        <v>54</v>
      </c>
      <c r="C10" s="12">
        <v>3855</v>
      </c>
      <c r="D10" s="32">
        <v>46125</v>
      </c>
      <c r="E10" s="13" t="s">
        <v>33</v>
      </c>
      <c r="F10" s="11" t="s">
        <v>48</v>
      </c>
      <c r="G10" s="11" t="s">
        <v>13</v>
      </c>
      <c r="H10" s="13" t="s">
        <v>56</v>
      </c>
      <c r="I10" s="11" t="s">
        <v>57</v>
      </c>
      <c r="J10" s="15"/>
      <c r="K10" s="9"/>
    </row>
    <row r="11" spans="1:11" x14ac:dyDescent="0.4">
      <c r="A11" s="16" t="s">
        <v>101</v>
      </c>
      <c r="B11" s="16" t="s">
        <v>54</v>
      </c>
      <c r="C11" s="17">
        <v>28319</v>
      </c>
      <c r="D11" s="33">
        <v>46125</v>
      </c>
      <c r="E11" s="16" t="s">
        <v>42</v>
      </c>
      <c r="F11" s="16" t="s">
        <v>48</v>
      </c>
      <c r="G11" s="18" t="s">
        <v>22</v>
      </c>
      <c r="H11" s="16" t="s">
        <v>21</v>
      </c>
      <c r="I11" s="18" t="s">
        <v>58</v>
      </c>
      <c r="J11" s="19"/>
      <c r="K11" s="9"/>
    </row>
    <row r="12" spans="1:11" x14ac:dyDescent="0.4">
      <c r="A12" s="16" t="s">
        <v>101</v>
      </c>
      <c r="B12" s="16" t="s">
        <v>59</v>
      </c>
      <c r="C12" s="17">
        <v>114156072</v>
      </c>
      <c r="D12" s="33">
        <v>46125</v>
      </c>
      <c r="E12" s="16" t="s">
        <v>33</v>
      </c>
      <c r="F12" s="16" t="s">
        <v>48</v>
      </c>
      <c r="G12" s="18" t="s">
        <v>15</v>
      </c>
      <c r="H12" s="16" t="s">
        <v>35</v>
      </c>
      <c r="I12" s="18" t="s">
        <v>60</v>
      </c>
      <c r="J12" s="19"/>
      <c r="K12" s="9"/>
    </row>
    <row r="13" spans="1:11" x14ac:dyDescent="0.4">
      <c r="A13" s="16" t="s">
        <v>101</v>
      </c>
      <c r="B13" s="16" t="s">
        <v>61</v>
      </c>
      <c r="C13" s="17" t="s">
        <v>62</v>
      </c>
      <c r="D13" s="33">
        <v>46126</v>
      </c>
      <c r="E13" s="16" t="s">
        <v>33</v>
      </c>
      <c r="F13" s="16" t="s">
        <v>63</v>
      </c>
      <c r="G13" s="18" t="s">
        <v>18</v>
      </c>
      <c r="H13" s="16" t="s">
        <v>35</v>
      </c>
      <c r="I13" s="18" t="s">
        <v>64</v>
      </c>
      <c r="J13" s="19"/>
      <c r="K13" s="9"/>
    </row>
    <row r="14" spans="1:11" x14ac:dyDescent="0.4">
      <c r="A14" s="16" t="s">
        <v>101</v>
      </c>
      <c r="B14" s="16" t="s">
        <v>65</v>
      </c>
      <c r="C14" s="17">
        <v>3500231148</v>
      </c>
      <c r="D14" s="33">
        <v>46126</v>
      </c>
      <c r="E14" s="16" t="s">
        <v>33</v>
      </c>
      <c r="F14" s="16" t="s">
        <v>63</v>
      </c>
      <c r="G14" s="18" t="s">
        <v>18</v>
      </c>
      <c r="H14" s="16" t="s">
        <v>35</v>
      </c>
      <c r="I14" s="18" t="s">
        <v>66</v>
      </c>
      <c r="J14" s="19"/>
      <c r="K14" s="9"/>
    </row>
    <row r="15" spans="1:11" x14ac:dyDescent="0.4">
      <c r="A15" s="16" t="s">
        <v>40</v>
      </c>
      <c r="B15" s="16" t="s">
        <v>47</v>
      </c>
      <c r="C15" s="17">
        <v>6178</v>
      </c>
      <c r="D15" s="33">
        <v>46126</v>
      </c>
      <c r="E15" s="16" t="s">
        <v>33</v>
      </c>
      <c r="F15" s="16" t="s">
        <v>43</v>
      </c>
      <c r="G15" s="18" t="s">
        <v>18</v>
      </c>
      <c r="H15" s="16" t="s">
        <v>35</v>
      </c>
      <c r="I15" s="18" t="s">
        <v>67</v>
      </c>
      <c r="J15" s="19"/>
      <c r="K15" s="9"/>
    </row>
    <row r="16" spans="1:11" x14ac:dyDescent="0.4">
      <c r="A16" s="16" t="s">
        <v>40</v>
      </c>
      <c r="B16" s="16" t="s">
        <v>68</v>
      </c>
      <c r="C16" s="17">
        <v>21685</v>
      </c>
      <c r="D16" s="33">
        <v>46127</v>
      </c>
      <c r="E16" s="16" t="s">
        <v>33</v>
      </c>
      <c r="F16" s="16" t="s">
        <v>43</v>
      </c>
      <c r="G16" s="18" t="s">
        <v>18</v>
      </c>
      <c r="H16" s="16" t="s">
        <v>69</v>
      </c>
      <c r="I16" s="18" t="s">
        <v>67</v>
      </c>
      <c r="J16" s="19"/>
      <c r="K16" s="9"/>
    </row>
    <row r="17" spans="1:11" ht="29.15" x14ac:dyDescent="0.4">
      <c r="A17" s="16" t="s">
        <v>40</v>
      </c>
      <c r="B17" s="16" t="s">
        <v>70</v>
      </c>
      <c r="C17" s="17" t="s">
        <v>71</v>
      </c>
      <c r="D17" s="33">
        <v>46127</v>
      </c>
      <c r="E17" s="16" t="s">
        <v>33</v>
      </c>
      <c r="F17" s="16" t="s">
        <v>43</v>
      </c>
      <c r="G17" s="18" t="s">
        <v>23</v>
      </c>
      <c r="H17" s="16" t="s">
        <v>69</v>
      </c>
      <c r="I17" s="18" t="s">
        <v>72</v>
      </c>
      <c r="J17" s="19"/>
      <c r="K17" s="9"/>
    </row>
    <row r="18" spans="1:11" ht="29.15" x14ac:dyDescent="0.4">
      <c r="A18" s="16" t="s">
        <v>40</v>
      </c>
      <c r="B18" s="16" t="s">
        <v>70</v>
      </c>
      <c r="C18" s="17" t="s">
        <v>73</v>
      </c>
      <c r="D18" s="33">
        <v>46127</v>
      </c>
      <c r="E18" s="16" t="s">
        <v>33</v>
      </c>
      <c r="F18" s="16" t="s">
        <v>43</v>
      </c>
      <c r="G18" s="18" t="s">
        <v>23</v>
      </c>
      <c r="H18" s="16" t="s">
        <v>69</v>
      </c>
      <c r="I18" s="18" t="s">
        <v>72</v>
      </c>
      <c r="J18" s="19"/>
      <c r="K18" s="9"/>
    </row>
    <row r="19" spans="1:11" x14ac:dyDescent="0.4">
      <c r="A19" s="16" t="s">
        <v>40</v>
      </c>
      <c r="B19" s="16" t="s">
        <v>74</v>
      </c>
      <c r="C19" s="17">
        <v>741</v>
      </c>
      <c r="D19" s="33">
        <v>46128</v>
      </c>
      <c r="E19" s="16" t="s">
        <v>33</v>
      </c>
      <c r="F19" s="16" t="s">
        <v>43</v>
      </c>
      <c r="G19" s="18" t="s">
        <v>18</v>
      </c>
      <c r="H19" s="16" t="s">
        <v>21</v>
      </c>
      <c r="I19" s="18" t="s">
        <v>75</v>
      </c>
      <c r="J19" s="19"/>
      <c r="K19" s="9"/>
    </row>
    <row r="20" spans="1:11" ht="15.45" x14ac:dyDescent="0.4">
      <c r="A20" s="16" t="s">
        <v>40</v>
      </c>
      <c r="B20" s="16" t="s">
        <v>76</v>
      </c>
      <c r="C20" s="17">
        <v>13440</v>
      </c>
      <c r="D20" s="33">
        <v>46129</v>
      </c>
      <c r="E20" s="16" t="s">
        <v>33</v>
      </c>
      <c r="F20" s="16" t="s">
        <v>48</v>
      </c>
      <c r="G20" s="20" t="s">
        <v>15</v>
      </c>
      <c r="H20" s="16" t="s">
        <v>35</v>
      </c>
      <c r="I20" s="20" t="s">
        <v>77</v>
      </c>
      <c r="J20" s="19"/>
      <c r="K20" s="9"/>
    </row>
    <row r="21" spans="1:11" ht="29.15" x14ac:dyDescent="0.4">
      <c r="A21" s="18" t="s">
        <v>101</v>
      </c>
      <c r="B21" s="18" t="s">
        <v>76</v>
      </c>
      <c r="C21" s="21">
        <v>13462</v>
      </c>
      <c r="D21" s="34">
        <v>46132</v>
      </c>
      <c r="E21" s="18" t="s">
        <v>33</v>
      </c>
      <c r="F21" s="18" t="s">
        <v>48</v>
      </c>
      <c r="G21" s="18" t="s">
        <v>24</v>
      </c>
      <c r="H21" s="18" t="s">
        <v>21</v>
      </c>
      <c r="I21" s="18" t="s">
        <v>78</v>
      </c>
      <c r="J21" s="37">
        <v>26.52</v>
      </c>
      <c r="K21" s="9"/>
    </row>
    <row r="22" spans="1:11" x14ac:dyDescent="0.4">
      <c r="A22" s="16" t="s">
        <v>101</v>
      </c>
      <c r="B22" s="16" t="s">
        <v>37</v>
      </c>
      <c r="C22" s="17">
        <v>8572</v>
      </c>
      <c r="D22" s="33">
        <v>46133</v>
      </c>
      <c r="E22" s="16" t="s">
        <v>42</v>
      </c>
      <c r="F22" s="16" t="s">
        <v>63</v>
      </c>
      <c r="G22" s="18" t="s">
        <v>15</v>
      </c>
      <c r="H22" s="16" t="s">
        <v>35</v>
      </c>
      <c r="I22" s="18" t="s">
        <v>77</v>
      </c>
      <c r="J22" s="19"/>
      <c r="K22" s="9"/>
    </row>
    <row r="23" spans="1:11" x14ac:dyDescent="0.4">
      <c r="A23" s="16" t="s">
        <v>40</v>
      </c>
      <c r="B23" s="16" t="s">
        <v>79</v>
      </c>
      <c r="C23" s="17">
        <v>7242083259</v>
      </c>
      <c r="D23" s="33">
        <v>46133</v>
      </c>
      <c r="E23" s="16" t="s">
        <v>33</v>
      </c>
      <c r="F23" s="16" t="s">
        <v>80</v>
      </c>
      <c r="G23" s="18" t="s">
        <v>13</v>
      </c>
      <c r="H23" s="16" t="s">
        <v>12</v>
      </c>
      <c r="I23" s="18" t="s">
        <v>81</v>
      </c>
      <c r="J23" s="19"/>
      <c r="K23" s="9"/>
    </row>
    <row r="24" spans="1:11" x14ac:dyDescent="0.4">
      <c r="A24" s="16" t="s">
        <v>40</v>
      </c>
      <c r="B24" s="16" t="s">
        <v>37</v>
      </c>
      <c r="C24" s="17">
        <v>106514</v>
      </c>
      <c r="D24" s="33">
        <v>46133</v>
      </c>
      <c r="E24" s="16" t="s">
        <v>42</v>
      </c>
      <c r="F24" s="16" t="s">
        <v>80</v>
      </c>
      <c r="G24" s="18" t="s">
        <v>13</v>
      </c>
      <c r="H24" s="16" t="s">
        <v>82</v>
      </c>
      <c r="I24" s="18" t="s">
        <v>81</v>
      </c>
      <c r="J24" s="19"/>
      <c r="K24" s="9"/>
    </row>
    <row r="25" spans="1:11" ht="29.15" x14ac:dyDescent="0.4">
      <c r="A25" s="16" t="s">
        <v>40</v>
      </c>
      <c r="B25" s="16" t="s">
        <v>83</v>
      </c>
      <c r="C25" s="17">
        <v>118308</v>
      </c>
      <c r="D25" s="33">
        <v>46134</v>
      </c>
      <c r="E25" s="16" t="s">
        <v>33</v>
      </c>
      <c r="F25" s="16" t="s">
        <v>84</v>
      </c>
      <c r="G25" s="18" t="s">
        <v>23</v>
      </c>
      <c r="H25" s="16" t="s">
        <v>21</v>
      </c>
      <c r="I25" s="18" t="s">
        <v>85</v>
      </c>
      <c r="J25" s="19"/>
      <c r="K25" s="9"/>
    </row>
    <row r="26" spans="1:11" ht="29.15" x14ac:dyDescent="0.4">
      <c r="A26" s="16" t="s">
        <v>101</v>
      </c>
      <c r="B26" s="16" t="s">
        <v>76</v>
      </c>
      <c r="C26" s="17">
        <v>13484</v>
      </c>
      <c r="D26" s="33">
        <v>46135</v>
      </c>
      <c r="E26" s="16" t="s">
        <v>33</v>
      </c>
      <c r="F26" s="16" t="s">
        <v>34</v>
      </c>
      <c r="G26" s="18" t="s">
        <v>25</v>
      </c>
      <c r="H26" s="16" t="s">
        <v>26</v>
      </c>
      <c r="I26" s="18" t="s">
        <v>86</v>
      </c>
      <c r="J26" s="22">
        <v>0.61</v>
      </c>
      <c r="K26" s="9" t="s">
        <v>106</v>
      </c>
    </row>
    <row r="27" spans="1:11" x14ac:dyDescent="0.4">
      <c r="A27" s="16" t="s">
        <v>101</v>
      </c>
      <c r="B27" s="16" t="s">
        <v>65</v>
      </c>
      <c r="C27" s="17">
        <v>201247337</v>
      </c>
      <c r="D27" s="33">
        <v>46136</v>
      </c>
      <c r="E27" s="16" t="s">
        <v>33</v>
      </c>
      <c r="F27" s="16" t="s">
        <v>63</v>
      </c>
      <c r="G27" s="18" t="s">
        <v>13</v>
      </c>
      <c r="H27" s="16" t="s">
        <v>82</v>
      </c>
      <c r="I27" s="18" t="s">
        <v>81</v>
      </c>
      <c r="J27" s="19"/>
      <c r="K27" s="9"/>
    </row>
    <row r="28" spans="1:11" x14ac:dyDescent="0.4">
      <c r="A28" s="16" t="s">
        <v>101</v>
      </c>
      <c r="B28" s="16" t="s">
        <v>65</v>
      </c>
      <c r="C28" s="17">
        <v>201247336</v>
      </c>
      <c r="D28" s="33">
        <v>46136</v>
      </c>
      <c r="E28" s="16" t="s">
        <v>33</v>
      </c>
      <c r="F28" s="16" t="s">
        <v>63</v>
      </c>
      <c r="G28" s="18" t="s">
        <v>13</v>
      </c>
      <c r="H28" s="16" t="s">
        <v>82</v>
      </c>
      <c r="I28" s="18" t="s">
        <v>81</v>
      </c>
      <c r="J28" s="19"/>
      <c r="K28" s="9"/>
    </row>
    <row r="29" spans="1:11" x14ac:dyDescent="0.4">
      <c r="A29" s="16" t="s">
        <v>101</v>
      </c>
      <c r="B29" s="16" t="s">
        <v>65</v>
      </c>
      <c r="C29" s="17">
        <v>201247338</v>
      </c>
      <c r="D29" s="33">
        <v>46136</v>
      </c>
      <c r="E29" s="16" t="s">
        <v>33</v>
      </c>
      <c r="F29" s="16" t="s">
        <v>63</v>
      </c>
      <c r="G29" s="18" t="s">
        <v>13</v>
      </c>
      <c r="H29" s="16" t="s">
        <v>82</v>
      </c>
      <c r="I29" s="18" t="s">
        <v>81</v>
      </c>
      <c r="J29" s="19"/>
      <c r="K29" s="9"/>
    </row>
    <row r="30" spans="1:11" x14ac:dyDescent="0.4">
      <c r="A30" s="16" t="s">
        <v>40</v>
      </c>
      <c r="B30" s="16" t="s">
        <v>41</v>
      </c>
      <c r="C30" s="17">
        <v>540</v>
      </c>
      <c r="D30" s="33">
        <v>46136</v>
      </c>
      <c r="E30" s="16" t="s">
        <v>33</v>
      </c>
      <c r="F30" s="16" t="s">
        <v>87</v>
      </c>
      <c r="G30" s="18" t="s">
        <v>22</v>
      </c>
      <c r="H30" s="16" t="s">
        <v>21</v>
      </c>
      <c r="I30" s="18" t="s">
        <v>88</v>
      </c>
      <c r="J30" s="22">
        <v>2</v>
      </c>
      <c r="K30" s="9" t="s">
        <v>105</v>
      </c>
    </row>
    <row r="31" spans="1:11" x14ac:dyDescent="0.4">
      <c r="A31" s="23" t="s">
        <v>40</v>
      </c>
      <c r="B31" s="23" t="s">
        <v>89</v>
      </c>
      <c r="C31" s="24">
        <v>1851984</v>
      </c>
      <c r="D31" s="25">
        <v>46137</v>
      </c>
      <c r="E31" s="23" t="s">
        <v>33</v>
      </c>
      <c r="F31" s="23" t="s">
        <v>43</v>
      </c>
      <c r="G31" t="s">
        <v>23</v>
      </c>
      <c r="H31" t="str">
        <f>IF(G31="","",VLOOKUP(G31,[1]REFERENCIA!$A$1:$B$14,2,0))</f>
        <v>TIPO C</v>
      </c>
      <c r="I31" s="26" t="s">
        <v>90</v>
      </c>
      <c r="K31" s="9"/>
    </row>
    <row r="32" spans="1:11" ht="29.15" x14ac:dyDescent="0.4">
      <c r="A32" s="23" t="s">
        <v>101</v>
      </c>
      <c r="B32" s="23" t="s">
        <v>37</v>
      </c>
      <c r="C32" s="24">
        <v>1818</v>
      </c>
      <c r="D32" s="25">
        <v>46139</v>
      </c>
      <c r="E32" s="23" t="s">
        <v>33</v>
      </c>
      <c r="F32" s="23" t="s">
        <v>91</v>
      </c>
      <c r="G32" s="27" t="s">
        <v>23</v>
      </c>
      <c r="H32" t="str">
        <f>IF(G32="","",VLOOKUP(G32,[1]REFERENCIA!$A$1:$B$14,2,0))</f>
        <v>TIPO C</v>
      </c>
      <c r="I32" s="26" t="s">
        <v>92</v>
      </c>
      <c r="K32" s="28"/>
    </row>
    <row r="33" spans="1:11" x14ac:dyDescent="0.4">
      <c r="A33" s="23" t="s">
        <v>40</v>
      </c>
      <c r="B33" s="23" t="s">
        <v>93</v>
      </c>
      <c r="C33" s="24">
        <v>610211463</v>
      </c>
      <c r="D33" s="25">
        <v>46139</v>
      </c>
      <c r="E33" s="23" t="s">
        <v>33</v>
      </c>
      <c r="F33" s="23" t="s">
        <v>84</v>
      </c>
      <c r="G33" t="s">
        <v>14</v>
      </c>
      <c r="H33" t="str">
        <f>IF(G33="","",VLOOKUP(G33,[1]REFERENCIA!$A$1:$B$14,2,0))</f>
        <v>TIPO A</v>
      </c>
      <c r="I33" s="26" t="s">
        <v>94</v>
      </c>
      <c r="K33" s="28"/>
    </row>
    <row r="34" spans="1:11" ht="43.75" x14ac:dyDescent="0.4">
      <c r="A34" s="23" t="s">
        <v>101</v>
      </c>
      <c r="B34" s="23" t="s">
        <v>95</v>
      </c>
      <c r="C34" s="24">
        <v>30861</v>
      </c>
      <c r="D34" s="25">
        <v>46139</v>
      </c>
      <c r="E34" s="23" t="s">
        <v>42</v>
      </c>
      <c r="F34" s="23" t="s">
        <v>91</v>
      </c>
      <c r="G34" s="27" t="s">
        <v>24</v>
      </c>
      <c r="H34" t="str">
        <f>IF(G34="","",VLOOKUP(G34,[1]REFERENCIA!$A$1:$B$14,2,0))</f>
        <v>TIPO C</v>
      </c>
      <c r="I34" s="29" t="s">
        <v>96</v>
      </c>
      <c r="J34" s="36">
        <v>1.62</v>
      </c>
      <c r="K34" s="28" t="s">
        <v>97</v>
      </c>
    </row>
    <row r="35" spans="1:11" x14ac:dyDescent="0.4">
      <c r="A35" s="23" t="s">
        <v>40</v>
      </c>
      <c r="B35" s="23" t="s">
        <v>76</v>
      </c>
      <c r="C35" s="24">
        <v>13545</v>
      </c>
      <c r="D35" s="25">
        <v>46141</v>
      </c>
      <c r="E35" s="23" t="s">
        <v>33</v>
      </c>
      <c r="F35" s="23" t="s">
        <v>84</v>
      </c>
      <c r="G35" t="s">
        <v>22</v>
      </c>
      <c r="H35" t="str">
        <f>IF(G35="","",VLOOKUP(G35,REFERENCIA!$A$1:$B$15,2,0))</f>
        <v>TIPO C</v>
      </c>
      <c r="I35" s="35" t="s">
        <v>98</v>
      </c>
    </row>
    <row r="36" spans="1:11" x14ac:dyDescent="0.4">
      <c r="A36" s="23" t="s">
        <v>101</v>
      </c>
      <c r="B36" s="23" t="s">
        <v>99</v>
      </c>
      <c r="C36" s="24">
        <v>53076</v>
      </c>
      <c r="D36" s="25">
        <v>46142</v>
      </c>
      <c r="E36" s="23" t="s">
        <v>33</v>
      </c>
      <c r="F36" s="23" t="s">
        <v>34</v>
      </c>
      <c r="G36" t="s">
        <v>15</v>
      </c>
      <c r="H36" t="str">
        <f>IF(G36="","",VLOOKUP(G36,REFERENCIA!$A$1:$B$15,2,0))</f>
        <v>TIPO B</v>
      </c>
      <c r="I36" s="35" t="s">
        <v>100</v>
      </c>
    </row>
    <row r="37" spans="1:11" x14ac:dyDescent="0.4">
      <c r="A37" s="23" t="s">
        <v>101</v>
      </c>
      <c r="B37" s="23" t="s">
        <v>89</v>
      </c>
      <c r="C37" s="24">
        <v>1853893</v>
      </c>
      <c r="D37" s="25">
        <v>46142</v>
      </c>
      <c r="E37" s="23" t="s">
        <v>33</v>
      </c>
      <c r="F37" s="23" t="s">
        <v>87</v>
      </c>
      <c r="G37" t="s">
        <v>23</v>
      </c>
      <c r="H37" t="str">
        <f>IF(G37="","",VLOOKUP(G37,REFERENCIA!$A$1:$B$15,2,0))</f>
        <v>TIPO C</v>
      </c>
      <c r="I37" s="35" t="s">
        <v>102</v>
      </c>
    </row>
    <row r="38" spans="1:11" x14ac:dyDescent="0.4">
      <c r="A38" s="23" t="s">
        <v>101</v>
      </c>
      <c r="B38" s="23" t="s">
        <v>89</v>
      </c>
      <c r="C38" s="24">
        <v>1853894</v>
      </c>
      <c r="D38" s="25">
        <v>46142</v>
      </c>
      <c r="E38" s="23" t="s">
        <v>33</v>
      </c>
      <c r="F38" s="23" t="s">
        <v>87</v>
      </c>
      <c r="G38" t="s">
        <v>23</v>
      </c>
      <c r="H38" t="str">
        <f>IF(G38="","",VLOOKUP(G38,REFERENCIA!$A$1:$B$15,2,0))</f>
        <v>TIPO C</v>
      </c>
      <c r="I38" s="35" t="s">
        <v>102</v>
      </c>
    </row>
    <row r="39" spans="1:11" x14ac:dyDescent="0.4">
      <c r="A39" s="23" t="s">
        <v>40</v>
      </c>
      <c r="B39" s="23" t="s">
        <v>103</v>
      </c>
      <c r="C39" s="24">
        <v>6433</v>
      </c>
      <c r="D39" s="25">
        <v>46142</v>
      </c>
      <c r="E39" s="23" t="s">
        <v>33</v>
      </c>
      <c r="F39" s="23" t="s">
        <v>87</v>
      </c>
      <c r="G39" t="s">
        <v>18</v>
      </c>
      <c r="H39" t="str">
        <f>IF(G39="","",VLOOKUP(G39,REFERENCIA!$A$1:$B$15,2,0))</f>
        <v>TIPO B</v>
      </c>
      <c r="I39" s="35" t="s">
        <v>104</v>
      </c>
    </row>
    <row r="40" spans="1:11" x14ac:dyDescent="0.4">
      <c r="H40" t="str">
        <f>IF(G40="","",VLOOKUP(G40,REFERENCIA!$A$1:$B$15,2,0))</f>
        <v/>
      </c>
    </row>
    <row r="41" spans="1:11" x14ac:dyDescent="0.4">
      <c r="H41" t="str">
        <f>IF(G41="","",VLOOKUP(G41,REFERENCIA!$A$1:$B$15,2,0))</f>
        <v/>
      </c>
    </row>
    <row r="42" spans="1:11" x14ac:dyDescent="0.4">
      <c r="H42" t="str">
        <f>IF(G42="","",VLOOKUP(G42,REFERENCIA!$A$1:$B$15,2,0))</f>
        <v/>
      </c>
    </row>
    <row r="43" spans="1:11" x14ac:dyDescent="0.4">
      <c r="H43" t="str">
        <f>IF(G43="","",VLOOKUP(G43,REFERENCIA!$A$1:$B$15,2,0))</f>
        <v/>
      </c>
    </row>
    <row r="44" spans="1:11" x14ac:dyDescent="0.4">
      <c r="H44" t="str">
        <f>IF(G44="","",VLOOKUP(G44,REFERENCIA!$A$1:$B$15,2,0))</f>
        <v/>
      </c>
    </row>
    <row r="45" spans="1:11" x14ac:dyDescent="0.4">
      <c r="H45" t="str">
        <f>IF(G45="","",VLOOKUP(G45,REFERENCIA!$A$1:$B$15,2,0))</f>
        <v/>
      </c>
    </row>
    <row r="46" spans="1:11" x14ac:dyDescent="0.4">
      <c r="H46" t="str">
        <f>IF(G46="","",VLOOKUP(G46,REFERENCIA!$A$1:$B$15,2,0))</f>
        <v/>
      </c>
    </row>
    <row r="47" spans="1:11" x14ac:dyDescent="0.4">
      <c r="H47" t="str">
        <f>IF(G47="","",VLOOKUP(G47,REFERENCIA!$A$1:$B$15,2,0))</f>
        <v/>
      </c>
    </row>
    <row r="48" spans="1:11" x14ac:dyDescent="0.4">
      <c r="H48" t="str">
        <f>IF(G48="","",VLOOKUP(G48,REFERENCIA!$A$1:$B$15,2,0))</f>
        <v/>
      </c>
    </row>
    <row r="49" spans="8:8" x14ac:dyDescent="0.4">
      <c r="H49" t="str">
        <f>IF(G49="","",VLOOKUP(G49,REFERENCIA!$A$1:$B$15,2,0))</f>
        <v/>
      </c>
    </row>
    <row r="50" spans="8:8" x14ac:dyDescent="0.4">
      <c r="H50" t="str">
        <f>IF(G50="","",VLOOKUP(G50,REFERENCIA!$A$1:$B$15,2,0))</f>
        <v/>
      </c>
    </row>
    <row r="51" spans="8:8" x14ac:dyDescent="0.4">
      <c r="H51" t="str">
        <f>IF(G51="","",VLOOKUP(G51,REFERENCIA!$A$1:$B$15,2,0))</f>
        <v/>
      </c>
    </row>
    <row r="52" spans="8:8" x14ac:dyDescent="0.4">
      <c r="H52" t="str">
        <f>IF(G52="","",VLOOKUP(G52,REFERENCIA!$A$1:$B$15,2,0))</f>
        <v/>
      </c>
    </row>
    <row r="53" spans="8:8" x14ac:dyDescent="0.4">
      <c r="H53" t="str">
        <f>IF(G53="","",VLOOKUP(G53,REFERENCIA!$A$1:$B$15,2,0))</f>
        <v/>
      </c>
    </row>
    <row r="54" spans="8:8" x14ac:dyDescent="0.4">
      <c r="H54" t="str">
        <f>IF(G54="","",VLOOKUP(G54,REFERENCIA!$A$1:$B$15,2,0))</f>
        <v/>
      </c>
    </row>
    <row r="55" spans="8:8" x14ac:dyDescent="0.4">
      <c r="H55" t="str">
        <f>IF(G55="","",VLOOKUP(G55,REFERENCIA!$A$1:$B$15,2,0))</f>
        <v/>
      </c>
    </row>
    <row r="56" spans="8:8" x14ac:dyDescent="0.4">
      <c r="H56" t="str">
        <f>IF(G56="","",VLOOKUP(G56,REFERENCIA!$A$1:$B$15,2,0))</f>
        <v/>
      </c>
    </row>
    <row r="57" spans="8:8" x14ac:dyDescent="0.4">
      <c r="H57" t="str">
        <f>IF(G57="","",VLOOKUP(G57,REFERENCIA!$A$1:$B$15,2,0))</f>
        <v/>
      </c>
    </row>
    <row r="58" spans="8:8" x14ac:dyDescent="0.4">
      <c r="H58" t="str">
        <f>IF(G58="","",VLOOKUP(G58,REFERENCIA!$A$1:$B$15,2,0))</f>
        <v/>
      </c>
    </row>
    <row r="59" spans="8:8" x14ac:dyDescent="0.4">
      <c r="H59" t="str">
        <f>IF(G59="","",VLOOKUP(G59,REFERENCIA!$A$1:$B$15,2,0))</f>
        <v/>
      </c>
    </row>
    <row r="60" spans="8:8" x14ac:dyDescent="0.4">
      <c r="H60" t="str">
        <f>IF(G60="","",VLOOKUP(G60,REFERENCIA!$A$1:$B$15,2,0))</f>
        <v/>
      </c>
    </row>
    <row r="61" spans="8:8" x14ac:dyDescent="0.4">
      <c r="H61" t="str">
        <f>IF(G61="","",VLOOKUP(G61,REFERENCIA!$A$1:$B$15,2,0))</f>
        <v/>
      </c>
    </row>
    <row r="62" spans="8:8" x14ac:dyDescent="0.4">
      <c r="H62" t="str">
        <f>IF(G62="","",VLOOKUP(G62,REFERENCIA!$A$1:$B$15,2,0))</f>
        <v/>
      </c>
    </row>
    <row r="63" spans="8:8" x14ac:dyDescent="0.4">
      <c r="H63" t="str">
        <f>IF(G63="","",VLOOKUP(G63,REFERENCIA!$A$1:$B$15,2,0))</f>
        <v/>
      </c>
    </row>
    <row r="64" spans="8:8" x14ac:dyDescent="0.4">
      <c r="H64" t="str">
        <f>IF(G64="","",VLOOKUP(G64,REFERENCIA!$A$1:$B$15,2,0))</f>
        <v/>
      </c>
    </row>
    <row r="65" spans="8:8" x14ac:dyDescent="0.4">
      <c r="H65" t="str">
        <f>IF(G65="","",VLOOKUP(G65,REFERENCIA!$A$1:$B$15,2,0))</f>
        <v/>
      </c>
    </row>
    <row r="66" spans="8:8" x14ac:dyDescent="0.4">
      <c r="H66" t="str">
        <f>IF(G66="","",VLOOKUP(G66,REFERENCIA!$A$1:$B$15,2,0))</f>
        <v/>
      </c>
    </row>
    <row r="67" spans="8:8" x14ac:dyDescent="0.4">
      <c r="H67" t="str">
        <f>IF(G67="","",VLOOKUP(G67,REFERENCIA!$A$1:$B$15,2,0))</f>
        <v/>
      </c>
    </row>
    <row r="68" spans="8:8" x14ac:dyDescent="0.4">
      <c r="H68" t="str">
        <f>IF(G68="","",VLOOKUP(G68,REFERENCIA!$A$1:$B$15,2,0))</f>
        <v/>
      </c>
    </row>
    <row r="69" spans="8:8" x14ac:dyDescent="0.4">
      <c r="H69" t="str">
        <f>IF(G69="","",VLOOKUP(G69,REFERENCIA!$A$1:$B$15,2,0))</f>
        <v/>
      </c>
    </row>
    <row r="70" spans="8:8" x14ac:dyDescent="0.4">
      <c r="H70" t="str">
        <f>IF(G70="","",VLOOKUP(G70,REFERENCIA!$A$1:$B$15,2,0))</f>
        <v/>
      </c>
    </row>
    <row r="71" spans="8:8" x14ac:dyDescent="0.4">
      <c r="H71" t="str">
        <f>IF(G71="","",VLOOKUP(G71,REFERENCIA!$A$1:$B$15,2,0))</f>
        <v/>
      </c>
    </row>
    <row r="72" spans="8:8" x14ac:dyDescent="0.4">
      <c r="H72" t="str">
        <f>IF(G72="","",VLOOKUP(G72,REFERENCIA!$A$1:$B$15,2,0))</f>
        <v/>
      </c>
    </row>
    <row r="73" spans="8:8" x14ac:dyDescent="0.4">
      <c r="H73" t="str">
        <f>IF(G73="","",VLOOKUP(G73,REFERENCIA!$A$1:$B$15,2,0))</f>
        <v/>
      </c>
    </row>
    <row r="74" spans="8:8" x14ac:dyDescent="0.4">
      <c r="H74" t="str">
        <f>IF(G74="","",VLOOKUP(G74,REFERENCIA!$A$1:$B$15,2,0))</f>
        <v/>
      </c>
    </row>
    <row r="75" spans="8:8" x14ac:dyDescent="0.4">
      <c r="H75" t="str">
        <f>IF(G75="","",VLOOKUP(G75,REFERENCIA!$A$1:$B$15,2,0))</f>
        <v/>
      </c>
    </row>
    <row r="76" spans="8:8" x14ac:dyDescent="0.4">
      <c r="H76" t="str">
        <f>IF(G76="","",VLOOKUP(G76,REFERENCIA!$A$1:$B$15,2,0))</f>
        <v/>
      </c>
    </row>
    <row r="77" spans="8:8" x14ac:dyDescent="0.4">
      <c r="H77" t="str">
        <f>IF(G77="","",VLOOKUP(G77,REFERENCIA!$A$1:$B$15,2,0))</f>
        <v/>
      </c>
    </row>
    <row r="78" spans="8:8" x14ac:dyDescent="0.4">
      <c r="H78" t="str">
        <f>IF(G78="","",VLOOKUP(G78,REFERENCIA!$A$1:$B$15,2,0))</f>
        <v/>
      </c>
    </row>
    <row r="79" spans="8:8" x14ac:dyDescent="0.4">
      <c r="H79" t="str">
        <f>IF(G79="","",VLOOKUP(G79,REFERENCIA!$A$1:$B$15,2,0))</f>
        <v/>
      </c>
    </row>
    <row r="80" spans="8:8" x14ac:dyDescent="0.4">
      <c r="H80" t="str">
        <f>IF(G80="","",VLOOKUP(G80,REFERENCIA!$A$1:$B$15,2,0))</f>
        <v/>
      </c>
    </row>
    <row r="81" spans="8:8" x14ac:dyDescent="0.4">
      <c r="H81" t="str">
        <f>IF(G81="","",VLOOKUP(G81,REFERENCIA!$A$1:$B$15,2,0))</f>
        <v/>
      </c>
    </row>
    <row r="82" spans="8:8" x14ac:dyDescent="0.4">
      <c r="H82" t="str">
        <f>IF(G82="","",VLOOKUP(G82,REFERENCIA!$A$1:$B$15,2,0))</f>
        <v/>
      </c>
    </row>
    <row r="83" spans="8:8" x14ac:dyDescent="0.4">
      <c r="H83" t="str">
        <f>IF(G83="","",VLOOKUP(G83,REFERENCIA!$A$1:$B$15,2,0))</f>
        <v/>
      </c>
    </row>
    <row r="84" spans="8:8" x14ac:dyDescent="0.4">
      <c r="H84" t="str">
        <f>IF(G84="","",VLOOKUP(G84,REFERENCIA!$A$1:$B$15,2,0))</f>
        <v/>
      </c>
    </row>
    <row r="85" spans="8:8" x14ac:dyDescent="0.4">
      <c r="H85" t="str">
        <f>IF(G85="","",VLOOKUP(G85,REFERENCIA!$A$1:$B$15,2,0))</f>
        <v/>
      </c>
    </row>
    <row r="86" spans="8:8" x14ac:dyDescent="0.4">
      <c r="H86" t="str">
        <f>IF(G86="","",VLOOKUP(G86,REFERENCIA!$A$1:$B$15,2,0))</f>
        <v/>
      </c>
    </row>
    <row r="87" spans="8:8" x14ac:dyDescent="0.4">
      <c r="H87" t="str">
        <f>IF(G87="","",VLOOKUP(G87,REFERENCIA!$A$1:$B$15,2,0))</f>
        <v/>
      </c>
    </row>
    <row r="88" spans="8:8" x14ac:dyDescent="0.4">
      <c r="H88" t="str">
        <f>IF(G88="","",VLOOKUP(G88,REFERENCIA!$A$1:$B$15,2,0))</f>
        <v/>
      </c>
    </row>
    <row r="89" spans="8:8" x14ac:dyDescent="0.4">
      <c r="H89" t="str">
        <f>IF(G89="","",VLOOKUP(G89,REFERENCIA!$A$1:$B$15,2,0))</f>
        <v/>
      </c>
    </row>
    <row r="90" spans="8:8" x14ac:dyDescent="0.4">
      <c r="H90" t="str">
        <f>IF(G90="","",VLOOKUP(G90,REFERENCIA!$A$1:$B$15,2,0))</f>
        <v/>
      </c>
    </row>
    <row r="91" spans="8:8" x14ac:dyDescent="0.4">
      <c r="H91" t="str">
        <f>IF(G91="","",VLOOKUP(G91,REFERENCIA!$A$1:$B$15,2,0))</f>
        <v/>
      </c>
    </row>
    <row r="92" spans="8:8" x14ac:dyDescent="0.4">
      <c r="H92" t="str">
        <f>IF(G92="","",VLOOKUP(G92,REFERENCIA!$A$1:$B$15,2,0))</f>
        <v/>
      </c>
    </row>
    <row r="93" spans="8:8" x14ac:dyDescent="0.4">
      <c r="H93" t="str">
        <f>IF(G93="","",VLOOKUP(G93,REFERENCIA!$A$1:$B$15,2,0))</f>
        <v/>
      </c>
    </row>
    <row r="94" spans="8:8" x14ac:dyDescent="0.4">
      <c r="H94" t="str">
        <f>IF(G94="","",VLOOKUP(G94,REFERENCIA!$A$1:$B$15,2,0))</f>
        <v/>
      </c>
    </row>
    <row r="95" spans="8:8" x14ac:dyDescent="0.4">
      <c r="H95" t="str">
        <f>IF(G95="","",VLOOKUP(G95,REFERENCIA!$A$1:$B$15,2,0))</f>
        <v/>
      </c>
    </row>
    <row r="96" spans="8:8" x14ac:dyDescent="0.4">
      <c r="H96" t="str">
        <f>IF(G96="","",VLOOKUP(G96,REFERENCIA!$A$1:$B$15,2,0))</f>
        <v/>
      </c>
    </row>
    <row r="97" spans="8:8" x14ac:dyDescent="0.4">
      <c r="H97" t="str">
        <f>IF(G97="","",VLOOKUP(G97,REFERENCIA!$A$1:$B$15,2,0))</f>
        <v/>
      </c>
    </row>
    <row r="98" spans="8:8" x14ac:dyDescent="0.4">
      <c r="H98" t="str">
        <f>IF(G98="","",VLOOKUP(G98,REFERENCIA!$A$1:$B$15,2,0))</f>
        <v/>
      </c>
    </row>
    <row r="99" spans="8:8" x14ac:dyDescent="0.4">
      <c r="H99" t="str">
        <f>IF(G99="","",VLOOKUP(G99,REFERENCIA!$A$1:$B$15,2,0))</f>
        <v/>
      </c>
    </row>
    <row r="100" spans="8:8" x14ac:dyDescent="0.4">
      <c r="H100" t="str">
        <f>IF(G100="","",VLOOKUP(G100,REFERENCIA!$A$1:$B$15,2,0))</f>
        <v/>
      </c>
    </row>
    <row r="101" spans="8:8" x14ac:dyDescent="0.4">
      <c r="H101" t="str">
        <f>IF(G101="","",VLOOKUP(G101,REFERENCIA!$A$1:$B$15,2,0))</f>
        <v/>
      </c>
    </row>
    <row r="102" spans="8:8" x14ac:dyDescent="0.4">
      <c r="H102" t="str">
        <f>IF(G102="","",VLOOKUP(G102,REFERENCIA!$A$1:$B$15,2,0))</f>
        <v/>
      </c>
    </row>
    <row r="103" spans="8:8" x14ac:dyDescent="0.4">
      <c r="H103" t="str">
        <f>IF(G103="","",VLOOKUP(G103,REFERENCIA!$A$1:$B$15,2,0))</f>
        <v/>
      </c>
    </row>
    <row r="104" spans="8:8" x14ac:dyDescent="0.4">
      <c r="H104" t="str">
        <f>IF(G104="","",VLOOKUP(G104,REFERENCIA!$A$1:$B$15,2,0))</f>
        <v/>
      </c>
    </row>
    <row r="105" spans="8:8" x14ac:dyDescent="0.4">
      <c r="H105" t="str">
        <f>IF(G105="","",VLOOKUP(G105,REFERENCIA!$A$1:$B$15,2,0))</f>
        <v/>
      </c>
    </row>
    <row r="106" spans="8:8" x14ac:dyDescent="0.4">
      <c r="H106" t="str">
        <f>IF(G106="","",VLOOKUP(G106,REFERENCIA!$A$1:$B$15,2,0))</f>
        <v/>
      </c>
    </row>
    <row r="107" spans="8:8" x14ac:dyDescent="0.4">
      <c r="H107" t="str">
        <f>IF(G107="","",VLOOKUP(G107,REFERENCIA!$A$1:$B$15,2,0))</f>
        <v/>
      </c>
    </row>
    <row r="108" spans="8:8" x14ac:dyDescent="0.4">
      <c r="H108" t="str">
        <f>IF(G108="","",VLOOKUP(G108,REFERENCIA!$A$1:$B$15,2,0))</f>
        <v/>
      </c>
    </row>
    <row r="109" spans="8:8" x14ac:dyDescent="0.4">
      <c r="H109" t="str">
        <f>IF(G109="","",VLOOKUP(G109,REFERENCIA!$A$1:$B$15,2,0))</f>
        <v/>
      </c>
    </row>
    <row r="110" spans="8:8" x14ac:dyDescent="0.4">
      <c r="H110" t="str">
        <f>IF(G110="","",VLOOKUP(G110,REFERENCIA!$A$1:$B$15,2,0))</f>
        <v/>
      </c>
    </row>
    <row r="111" spans="8:8" x14ac:dyDescent="0.4">
      <c r="H111" t="str">
        <f>IF(G111="","",VLOOKUP(G111,REFERENCIA!$A$1:$B$15,2,0))</f>
        <v/>
      </c>
    </row>
    <row r="112" spans="8:8" x14ac:dyDescent="0.4">
      <c r="H112" t="str">
        <f>IF(G112="","",VLOOKUP(G112,REFERENCIA!$A$1:$B$15,2,0))</f>
        <v/>
      </c>
    </row>
    <row r="113" spans="8:8" x14ac:dyDescent="0.4">
      <c r="H113" t="str">
        <f>IF(G113="","",VLOOKUP(G113,REFERENCIA!$A$1:$B$15,2,0))</f>
        <v/>
      </c>
    </row>
    <row r="114" spans="8:8" x14ac:dyDescent="0.4">
      <c r="H114" t="str">
        <f>IF(G114="","",VLOOKUP(G114,REFERENCIA!$A$1:$B$15,2,0))</f>
        <v/>
      </c>
    </row>
    <row r="115" spans="8:8" x14ac:dyDescent="0.4">
      <c r="H115" t="str">
        <f>IF(G115="","",VLOOKUP(G115,REFERENCIA!$A$1:$B$15,2,0))</f>
        <v/>
      </c>
    </row>
    <row r="116" spans="8:8" x14ac:dyDescent="0.4">
      <c r="H116" t="str">
        <f>IF(G116="","",VLOOKUP(G116,REFERENCIA!$A$1:$B$15,2,0))</f>
        <v/>
      </c>
    </row>
    <row r="117" spans="8:8" x14ac:dyDescent="0.4">
      <c r="H117" t="str">
        <f>IF(G117="","",VLOOKUP(G117,REFERENCIA!$A$1:$B$15,2,0))</f>
        <v/>
      </c>
    </row>
    <row r="118" spans="8:8" x14ac:dyDescent="0.4">
      <c r="H118" t="str">
        <f>IF(G118="","",VLOOKUP(G118,REFERENCIA!$A$1:$B$15,2,0))</f>
        <v/>
      </c>
    </row>
    <row r="119" spans="8:8" x14ac:dyDescent="0.4">
      <c r="H119" t="str">
        <f>IF(G119="","",VLOOKUP(G119,REFERENCIA!$A$1:$B$15,2,0))</f>
        <v/>
      </c>
    </row>
    <row r="120" spans="8:8" x14ac:dyDescent="0.4">
      <c r="H120" t="str">
        <f>IF(G120="","",VLOOKUP(G120,REFERENCIA!$A$1:$B$15,2,0))</f>
        <v/>
      </c>
    </row>
    <row r="121" spans="8:8" x14ac:dyDescent="0.4">
      <c r="H121" t="str">
        <f>IF(G121="","",VLOOKUP(G121,REFERENCIA!$A$1:$B$15,2,0))</f>
        <v/>
      </c>
    </row>
    <row r="122" spans="8:8" x14ac:dyDescent="0.4">
      <c r="H122" t="str">
        <f>IF(G122="","",VLOOKUP(G122,REFERENCIA!$A$1:$B$15,2,0))</f>
        <v/>
      </c>
    </row>
    <row r="123" spans="8:8" x14ac:dyDescent="0.4">
      <c r="H123" t="str">
        <f>IF(G123="","",VLOOKUP(G123,REFERENCIA!$A$1:$B$15,2,0))</f>
        <v/>
      </c>
    </row>
    <row r="124" spans="8:8" x14ac:dyDescent="0.4">
      <c r="H124" t="str">
        <f>IF(G124="","",VLOOKUP(G124,REFERENCIA!$A$1:$B$15,2,0))</f>
        <v/>
      </c>
    </row>
    <row r="125" spans="8:8" x14ac:dyDescent="0.4">
      <c r="H125" t="str">
        <f>IF(G125="","",VLOOKUP(G125,REFERENCIA!$A$1:$B$15,2,0))</f>
        <v/>
      </c>
    </row>
    <row r="126" spans="8:8" x14ac:dyDescent="0.4">
      <c r="H126" t="str">
        <f>IF(G126="","",VLOOKUP(G126,REFERENCIA!$A$1:$B$15,2,0))</f>
        <v/>
      </c>
    </row>
    <row r="127" spans="8:8" x14ac:dyDescent="0.4">
      <c r="H127" t="str">
        <f>IF(G127="","",VLOOKUP(G127,REFERENCIA!$A$1:$B$15,2,0))</f>
        <v/>
      </c>
    </row>
    <row r="128" spans="8:8" x14ac:dyDescent="0.4">
      <c r="H128" t="str">
        <f>IF(G128="","",VLOOKUP(G128,REFERENCIA!$A$1:$B$15,2,0))</f>
        <v/>
      </c>
    </row>
    <row r="129" spans="8:8" x14ac:dyDescent="0.4">
      <c r="H129" t="str">
        <f>IF(G129="","",VLOOKUP(G129,REFERENCIA!$A$1:$B$15,2,0))</f>
        <v/>
      </c>
    </row>
    <row r="130" spans="8:8" x14ac:dyDescent="0.4">
      <c r="H130" t="str">
        <f>IF(G130="","",VLOOKUP(G130,REFERENCIA!$A$1:$B$15,2,0))</f>
        <v/>
      </c>
    </row>
    <row r="131" spans="8:8" x14ac:dyDescent="0.4">
      <c r="H131" t="str">
        <f>IF(G131="","",VLOOKUP(G131,REFERENCIA!$A$1:$B$15,2,0))</f>
        <v/>
      </c>
    </row>
    <row r="132" spans="8:8" x14ac:dyDescent="0.4">
      <c r="H132" t="str">
        <f>IF(G132="","",VLOOKUP(G132,REFERENCIA!$A$1:$B$15,2,0))</f>
        <v/>
      </c>
    </row>
    <row r="133" spans="8:8" x14ac:dyDescent="0.4">
      <c r="H133" t="str">
        <f>IF(G133="","",VLOOKUP(G133,REFERENCIA!$A$1:$B$15,2,0))</f>
        <v/>
      </c>
    </row>
    <row r="134" spans="8:8" x14ac:dyDescent="0.4">
      <c r="H134" t="str">
        <f>IF(G134="","",VLOOKUP(G134,REFERENCIA!$A$1:$B$15,2,0))</f>
        <v/>
      </c>
    </row>
    <row r="135" spans="8:8" x14ac:dyDescent="0.4">
      <c r="H135" t="str">
        <f>IF(G135="","",VLOOKUP(G135,REFERENCIA!$A$1:$B$15,2,0))</f>
        <v/>
      </c>
    </row>
    <row r="136" spans="8:8" x14ac:dyDescent="0.4">
      <c r="H136" t="str">
        <f>IF(G136="","",VLOOKUP(G136,REFERENCIA!$A$1:$B$15,2,0))</f>
        <v/>
      </c>
    </row>
    <row r="137" spans="8:8" x14ac:dyDescent="0.4">
      <c r="H137" t="str">
        <f>IF(G137="","",VLOOKUP(G137,REFERENCIA!$A$1:$B$15,2,0))</f>
        <v/>
      </c>
    </row>
    <row r="138" spans="8:8" x14ac:dyDescent="0.4">
      <c r="H138" t="str">
        <f>IF(G138="","",VLOOKUP(G138,REFERENCIA!$A$1:$B$15,2,0))</f>
        <v/>
      </c>
    </row>
    <row r="139" spans="8:8" x14ac:dyDescent="0.4">
      <c r="H139" t="str">
        <f>IF(G139="","",VLOOKUP(G139,REFERENCIA!$A$1:$B$15,2,0))</f>
        <v/>
      </c>
    </row>
    <row r="140" spans="8:8" x14ac:dyDescent="0.4">
      <c r="H140" t="str">
        <f>IF(G140="","",VLOOKUP(G140,REFERENCIA!$A$1:$B$15,2,0))</f>
        <v/>
      </c>
    </row>
    <row r="141" spans="8:8" x14ac:dyDescent="0.4">
      <c r="H141" t="str">
        <f>IF(G141="","",VLOOKUP(G141,REFERENCIA!$A$1:$B$15,2,0))</f>
        <v/>
      </c>
    </row>
    <row r="142" spans="8:8" x14ac:dyDescent="0.4">
      <c r="H142" t="str">
        <f>IF(G142="","",VLOOKUP(G142,REFERENCIA!$A$1:$B$15,2,0))</f>
        <v/>
      </c>
    </row>
    <row r="143" spans="8:8" x14ac:dyDescent="0.4">
      <c r="H143" t="str">
        <f>IF(G143="","",VLOOKUP(G143,REFERENCIA!$A$1:$B$15,2,0))</f>
        <v/>
      </c>
    </row>
    <row r="144" spans="8:8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</sheetData>
  <pageMargins left="0.75" right="0.75" top="1" bottom="1" header="0.5" footer="0.5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REFERENCIA!$A$1:$A$15</xm:f>
          </x14:formula1>
          <xm:sqref>G35:G500</xm:sqref>
        </x14:dataValidation>
        <x14:dataValidation type="list" allowBlank="1" xr:uid="{00000000-0002-0000-0000-000001000000}">
          <x14:formula1>
            <xm:f>'C:\Users\MONITOR7\Desktop\[Abril_Santa_Rita_Mora.xlsx]REFERENCIA'!#REF!</xm:f>
          </x14:formula1>
          <xm:sqref>G2:G34 I2:I30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8.92187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2026-04-28T13:24:17Z</dcterms:created>
  <dcterms:modified xsi:type="dcterms:W3CDTF">2026-05-04T16:34:16Z</dcterms:modified>
</cp:coreProperties>
</file>