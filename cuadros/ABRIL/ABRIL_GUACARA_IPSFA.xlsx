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b val="1"/>
      <color rgb="FFFFFFFF"/>
      <sz val="11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4" fontId="1" fillId="2" borderId="1" applyAlignment="1" pivotButton="0" quotePrefix="0" xfId="0">
      <alignment horizontal="center" vertical="center"/>
    </xf>
    <xf numFmtId="14" fontId="0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49" fontId="1" fillId="2" borderId="1" applyAlignment="1" pivotButton="0" quotePrefix="0" xfId="0">
      <alignment horizontal="center" vertical="center"/>
    </xf>
    <xf numFmtId="49" fontId="0" fillId="0" borderId="0" pivotButton="0" quotePrefix="0" xfId="0"/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J2" activeCellId="2" sqref="J10 J6 J2"/>
    </sheetView>
  </sheetViews>
  <sheetFormatPr baseColWidth="10" defaultColWidth="9.23046875" defaultRowHeight="14.6"/>
  <cols>
    <col width="15" customWidth="1" style="8" min="1" max="1"/>
    <col width="20" customWidth="1" style="8" min="2" max="2"/>
    <col width="15" customWidth="1" style="8" min="3" max="3"/>
    <col width="17.84375" customWidth="1" style="3" min="4" max="4"/>
    <col width="20" customWidth="1" style="8" min="5" max="5"/>
    <col width="22" customWidth="1" style="8" min="6" max="6"/>
    <col width="55" customWidth="1" style="8" min="7" max="7"/>
    <col width="15" customWidth="1" style="8" min="8" max="8"/>
    <col width="72.15234375" customWidth="1" style="8" min="9" max="9"/>
    <col width="12" customWidth="1" style="8" min="10" max="10"/>
    <col width="12" customWidth="1" style="7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2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6" t="inlineStr">
        <is>
          <t>F COBRADA</t>
        </is>
      </c>
    </row>
    <row r="2">
      <c r="A2" t="inlineStr">
        <is>
          <t>GUACARA</t>
        </is>
      </c>
      <c r="B2" t="inlineStr">
        <is>
          <t>ECO CARNES</t>
        </is>
      </c>
      <c r="C2" t="n">
        <v>12705</v>
      </c>
      <c r="D2" s="3" t="n">
        <v>46113</v>
      </c>
      <c r="E2" t="inlineStr">
        <is>
          <t>RECEPCION</t>
        </is>
      </c>
      <c r="F2" t="inlineStr">
        <is>
          <t>JHON SINISTERRA</t>
        </is>
      </c>
      <c r="G2" t="inlineStr">
        <is>
          <t>NO FISCALIZÓ UNO O VARIOS PRODUCTOS</t>
        </is>
      </c>
      <c r="H2">
        <f>IF(G2="","",VLOOKUP(G2,REFERENCIA!$A$1:$B$15,2,0))</f>
        <v/>
      </c>
      <c r="I2" t="inlineStr">
        <is>
          <t>NO SE FISCALIZARON LOS TRASTES</t>
        </is>
      </c>
      <c r="J2" t="n">
        <v>140</v>
      </c>
    </row>
    <row r="3">
      <c r="A3" t="inlineStr">
        <is>
          <t>GUACARA</t>
        </is>
      </c>
      <c r="B3" t="inlineStr">
        <is>
          <t>ECO CARNES</t>
        </is>
      </c>
      <c r="C3" t="n">
        <v>12659</v>
      </c>
      <c r="D3" s="3" t="n">
        <v>46113</v>
      </c>
      <c r="E3" t="inlineStr">
        <is>
          <t>RECEPCION</t>
        </is>
      </c>
      <c r="F3" t="inlineStr">
        <is>
          <t>YUSBELIS MONTILLA</t>
        </is>
      </c>
      <c r="G3" t="inlineStr">
        <is>
          <t>ERROR DE KG EN TARA.</t>
        </is>
      </c>
      <c r="H3">
        <f>IF(G3="","",VLOOKUP(G3,REFERENCIA!$A$1:$B$15,2,0))</f>
        <v/>
      </c>
      <c r="I3" t="inlineStr">
        <is>
          <t>DIFERENCIA DE TARA EN LOS TRASTES 6KG</t>
        </is>
      </c>
      <c r="J3" s="5" t="n">
        <v>4</v>
      </c>
    </row>
    <row r="4">
      <c r="A4" t="inlineStr">
        <is>
          <t>GUACARA</t>
        </is>
      </c>
      <c r="B4" t="inlineStr">
        <is>
          <t>VICAR</t>
        </is>
      </c>
      <c r="C4" t="n">
        <v>13338</v>
      </c>
      <c r="D4" s="3" t="n">
        <v>46113</v>
      </c>
      <c r="E4" t="inlineStr">
        <is>
          <t>RECEPCION</t>
        </is>
      </c>
      <c r="F4" t="inlineStr">
        <is>
          <t>JHON SINISTERRA</t>
        </is>
      </c>
      <c r="G4" t="inlineStr">
        <is>
          <t>NO FISCALIZÓ UNO O VARIOS PRODUCTOS</t>
        </is>
      </c>
      <c r="H4">
        <f>IF(G4="","",VLOOKUP(G4,REFERENCIA!$A$1:$B$15,2,0))</f>
        <v/>
      </c>
      <c r="I4" t="inlineStr">
        <is>
          <t>DIFERENCIA DE PESAJE EN TARA LECHUGA 4,2KG, NO SE FISCALIZO EL ROMERO 2,1KG</t>
        </is>
      </c>
    </row>
    <row r="5">
      <c r="A5" t="inlineStr">
        <is>
          <t>IPSFA</t>
        </is>
      </c>
      <c r="B5" t="inlineStr">
        <is>
          <t>JEAN DAVID</t>
        </is>
      </c>
      <c r="C5" t="n">
        <v>19069</v>
      </c>
      <c r="D5" s="3" t="n">
        <v>46119</v>
      </c>
      <c r="E5" t="inlineStr">
        <is>
          <t>RECEPCION</t>
        </is>
      </c>
      <c r="F5" t="inlineStr">
        <is>
          <t>ELYS BOLIVAR</t>
        </is>
      </c>
      <c r="G5" t="inlineStr">
        <is>
          <t>PRODUCTO O SKU DUPLICADO.</t>
        </is>
      </c>
      <c r="H5">
        <f>IF(G5="","",VLOOKUP(G5,REFERENCIA!$A$1:$B$15,2,0))</f>
        <v/>
      </c>
      <c r="I5" t="inlineStr">
        <is>
          <t>SKU DUPLICADO</t>
        </is>
      </c>
    </row>
    <row r="6">
      <c r="A6" t="inlineStr">
        <is>
          <t>GUACARA</t>
        </is>
      </c>
      <c r="B6" t="inlineStr">
        <is>
          <t>LA PATRONA 2024</t>
        </is>
      </c>
      <c r="C6" t="n">
        <v>408</v>
      </c>
      <c r="D6" s="3" t="n">
        <v>46115</v>
      </c>
      <c r="E6" t="inlineStr">
        <is>
          <t>RECEPCION</t>
        </is>
      </c>
      <c r="F6" t="inlineStr">
        <is>
          <t>JHON SINISTERRA</t>
        </is>
      </c>
      <c r="G6" t="inlineStr">
        <is>
          <t>NO SE COMPLETA EL PROCESO DE FISCALIZACION Y SE ELIMINA.</t>
        </is>
      </c>
      <c r="H6">
        <f>IF(G6="","",VLOOKUP(G6,REFERENCIA!$A$1:$B$15,2,0))</f>
        <v/>
      </c>
      <c r="I6" t="inlineStr">
        <is>
          <t>SE BORRA LA FISCALIZACION POR NO COMPLETAR EL PROCESO</t>
        </is>
      </c>
      <c r="J6" t="n">
        <v>473.92</v>
      </c>
    </row>
    <row r="7">
      <c r="A7" t="inlineStr">
        <is>
          <t>IPSFA</t>
        </is>
      </c>
      <c r="B7" t="inlineStr">
        <is>
          <t>VICAR</t>
        </is>
      </c>
      <c r="C7" t="n">
        <v>13369</v>
      </c>
      <c r="D7" s="3" t="n">
        <v>46120</v>
      </c>
      <c r="E7" t="inlineStr">
        <is>
          <t>RECEPCION</t>
        </is>
      </c>
      <c r="F7" t="inlineStr">
        <is>
          <t>JOSE MAUREL</t>
        </is>
      </c>
      <c r="G7" t="inlineStr">
        <is>
          <t>ERROR DE KG EN TARA.</t>
        </is>
      </c>
      <c r="H7">
        <f>IF(G7="","",VLOOKUP(G7,REFERENCIA!$A$1:$B$15,2,0))</f>
        <v/>
      </c>
      <c r="I7" t="inlineStr">
        <is>
          <t>ERROR EN TARA DE CHAYOTA 3KG DE DIFERENCIA</t>
        </is>
      </c>
      <c r="J7" s="5" t="n">
        <v>2.4</v>
      </c>
    </row>
    <row r="8">
      <c r="A8" t="inlineStr">
        <is>
          <t>GUACARA</t>
        </is>
      </c>
      <c r="B8" t="inlineStr">
        <is>
          <t>SANARE</t>
        </is>
      </c>
      <c r="H8">
        <f>IF(G8="","",VLOOKUP(G8,REFERENCIA!$A$1:$B$15,2,0))</f>
        <v/>
      </c>
    </row>
    <row r="9">
      <c r="A9" t="inlineStr">
        <is>
          <t>IPSFA</t>
        </is>
      </c>
      <c r="B9" t="inlineStr">
        <is>
          <t>LA PATRONA 2024</t>
        </is>
      </c>
      <c r="C9" t="n">
        <v>430</v>
      </c>
      <c r="D9" s="3" t="n">
        <v>46121</v>
      </c>
      <c r="E9" t="inlineStr">
        <is>
          <t>RECEPCION</t>
        </is>
      </c>
      <c r="F9" t="inlineStr">
        <is>
          <t>JOSE MAUREL</t>
        </is>
      </c>
      <c r="G9" t="inlineStr">
        <is>
          <t>DIFERENCIA ENTRE CANTIDAD FISCALIZADA Y DOCUMENTO.</t>
        </is>
      </c>
      <c r="H9">
        <f>IF(G9="","",VLOOKUP(G9,REFERENCIA!$A$1:$B$15,2,0))</f>
        <v/>
      </c>
      <c r="I9" t="inlineStr">
        <is>
          <t>FALTANTE DE 200GR DE PARCHITA</t>
        </is>
      </c>
      <c r="J9" s="4" t="n">
        <v>0.74</v>
      </c>
      <c r="K9" s="7" t="inlineStr">
        <is>
          <t>00170489</t>
        </is>
      </c>
    </row>
    <row r="10">
      <c r="A10" t="inlineStr">
        <is>
          <t>GUACARA</t>
        </is>
      </c>
      <c r="B10" t="inlineStr">
        <is>
          <t>FRUMIX</t>
        </is>
      </c>
      <c r="C10" t="n">
        <v>9356</v>
      </c>
      <c r="D10" s="3" t="n">
        <v>46122</v>
      </c>
      <c r="E10" t="inlineStr">
        <is>
          <t>RECEPCION</t>
        </is>
      </c>
      <c r="F10" t="inlineStr">
        <is>
          <t>ELYANNYS VILLEGAS</t>
        </is>
      </c>
      <c r="G10" t="inlineStr">
        <is>
          <t>NO FISCALIZÓ UNO O VARIOS PRODUCTOS</t>
        </is>
      </c>
      <c r="H10">
        <f>IF(G10="","",VLOOKUP(G10,REFERENCIA!$A$1:$B$15,2,0))</f>
        <v/>
      </c>
      <c r="I10" t="inlineStr">
        <is>
          <t>NO SE FISCALIZO 13,8 KG DE NARANJA IMPORTADA</t>
        </is>
      </c>
      <c r="J10" t="n">
        <v>82.12</v>
      </c>
    </row>
    <row r="11">
      <c r="A11" t="inlineStr">
        <is>
          <t>GUACARA</t>
        </is>
      </c>
      <c r="B11" t="inlineStr">
        <is>
          <t>PARADIS FRESH</t>
        </is>
      </c>
      <c r="C11" t="n">
        <v>23430</v>
      </c>
      <c r="D11" s="3" t="n">
        <v>46122</v>
      </c>
      <c r="E11" t="inlineStr">
        <is>
          <t>RECEPCION</t>
        </is>
      </c>
      <c r="F11" t="inlineStr">
        <is>
          <t>GABRIELA VIVAS</t>
        </is>
      </c>
      <c r="G11" t="inlineStr">
        <is>
          <t>DOCUMENTACIÓN ERRÓNEA</t>
        </is>
      </c>
      <c r="H11">
        <f>IF(G11="","",VLOOKUP(G11,REFERENCIA!$A$1:$B$15,2,0))</f>
        <v/>
      </c>
      <c r="I11" t="inlineStr">
        <is>
          <t>SE CARGO EL DOCUMENTO EQUIVOCADO</t>
        </is>
      </c>
    </row>
    <row r="12">
      <c r="A12" t="inlineStr">
        <is>
          <t>GUACARA</t>
        </is>
      </c>
      <c r="B12" t="inlineStr">
        <is>
          <t>LA PATRONA 2024</t>
        </is>
      </c>
      <c r="C12" t="n">
        <v>6134</v>
      </c>
      <c r="D12" s="3" t="n">
        <v>46122</v>
      </c>
      <c r="E12" t="inlineStr">
        <is>
          <t>RECEPCION</t>
        </is>
      </c>
      <c r="F12" t="inlineStr">
        <is>
          <t>GABRIELA VIVAS</t>
        </is>
      </c>
      <c r="G12" t="inlineStr">
        <is>
          <t>NO SE COMPLETA EL PROCESO DE FISCALIZACION Y SE ELIMINA.</t>
        </is>
      </c>
      <c r="H12">
        <f>IF(G12="","",VLOOKUP(G12,REFERENCIA!$A$1:$B$15,2,0))</f>
        <v/>
      </c>
      <c r="I12" t="inlineStr">
        <is>
          <t>SE BORRA LA FISCALIZACION POR NO COMPLETAR EL PROCESO</t>
        </is>
      </c>
    </row>
    <row r="13">
      <c r="A13" t="inlineStr">
        <is>
          <t>IPSFA</t>
        </is>
      </c>
      <c r="B13" t="inlineStr">
        <is>
          <t>RUBYMAR</t>
        </is>
      </c>
      <c r="C13" t="n">
        <v>8683</v>
      </c>
      <c r="D13" s="3" t="n">
        <v>46128</v>
      </c>
      <c r="E13" t="inlineStr">
        <is>
          <t>RECEPCION</t>
        </is>
      </c>
      <c r="F13" t="inlineStr">
        <is>
          <t>DOUGLAS BUSTAMANTE</t>
        </is>
      </c>
      <c r="G13" t="inlineStr">
        <is>
          <t>FISCALIZACIÓN A DESTIEMPO</t>
        </is>
      </c>
      <c r="H13">
        <f>IF(G13="","",VLOOKUP(G13,REFERENCIA!$A$1:$B$15,2,0))</f>
        <v/>
      </c>
      <c r="I13" t="inlineStr">
        <is>
          <t>FISCALIZACION A DESTIEMPO</t>
        </is>
      </c>
    </row>
    <row r="14">
      <c r="A14" t="inlineStr">
        <is>
          <t>IPSFA</t>
        </is>
      </c>
      <c r="B14" t="inlineStr">
        <is>
          <t>LA PATRONA 2024</t>
        </is>
      </c>
      <c r="D14" s="3" t="n">
        <v>46128</v>
      </c>
      <c r="E14" t="inlineStr">
        <is>
          <t>RECEPCION</t>
        </is>
      </c>
      <c r="F14" t="inlineStr">
        <is>
          <t>DOUGLAS BUSTAMANTE</t>
        </is>
      </c>
      <c r="G14" t="inlineStr">
        <is>
          <t>FISCALIZACIÓN A DESTIEMPO</t>
        </is>
      </c>
      <c r="H14">
        <f>IF(G14="","",VLOOKUP(G14,REFERENCIA!$A$1:$B$15,2,0))</f>
        <v/>
      </c>
      <c r="I14" t="inlineStr">
        <is>
          <t>FISCALIZACION A DESTIEMPO</t>
        </is>
      </c>
    </row>
    <row r="15">
      <c r="A15" t="inlineStr">
        <is>
          <t>IPSFA</t>
        </is>
      </c>
      <c r="B15" t="inlineStr">
        <is>
          <t>PARADIS FRESH</t>
        </is>
      </c>
      <c r="C15" t="n">
        <v>23847</v>
      </c>
      <c r="D15" s="3" t="n">
        <v>46129</v>
      </c>
      <c r="E15" t="inlineStr">
        <is>
          <t>RECEPCION</t>
        </is>
      </c>
      <c r="F15" t="inlineStr">
        <is>
          <t>ELYS BOLIVAR</t>
        </is>
      </c>
      <c r="G15" t="inlineStr">
        <is>
          <t>RECEPCIÓN FUERA DE VISUAL / CON OBSTRUCCIÓN.</t>
        </is>
      </c>
      <c r="H15">
        <f>IF(G15="","",VLOOKUP(G15,REFERENCIA!$A$1:$B$15,2,0))</f>
        <v/>
      </c>
      <c r="I15" t="inlineStr">
        <is>
          <t>RECEPCION CON OBSTRUCCION</t>
        </is>
      </c>
    </row>
    <row r="16">
      <c r="A16" t="inlineStr">
        <is>
          <t>IPSFA</t>
        </is>
      </c>
      <c r="B16" t="inlineStr">
        <is>
          <t>VICAR</t>
        </is>
      </c>
      <c r="C16" t="n">
        <v>13439</v>
      </c>
      <c r="D16" s="3" t="n">
        <v>46129</v>
      </c>
      <c r="E16" t="inlineStr">
        <is>
          <t>RECEPCION</t>
        </is>
      </c>
      <c r="F16" t="inlineStr">
        <is>
          <t>JOSE MAUREL</t>
        </is>
      </c>
      <c r="G16" t="inlineStr">
        <is>
          <t>DIFERENCIA ENTRE CANTIDAD FISCALIZADA Y DOCUMENTO.</t>
        </is>
      </c>
      <c r="H16">
        <f>IF(G16="","",VLOOKUP(G16,REFERENCIA!$A$1:$B$15,2,0))</f>
        <v/>
      </c>
      <c r="I16" t="inlineStr">
        <is>
          <t>FALTANTE DE 400 GR DE LECHUGA CRIOLLA</t>
        </is>
      </c>
      <c r="J16" s="4" t="n">
        <v>0.4</v>
      </c>
      <c r="K16" s="7" t="inlineStr">
        <is>
          <t>00114739</t>
        </is>
      </c>
    </row>
    <row r="17">
      <c r="A17" t="inlineStr">
        <is>
          <t>GUACARA</t>
        </is>
      </c>
      <c r="B17" t="inlineStr">
        <is>
          <t>MUSACEUM</t>
        </is>
      </c>
      <c r="C17" t="n">
        <v>12912</v>
      </c>
      <c r="D17" s="3" t="n">
        <v>46129</v>
      </c>
      <c r="E17" t="inlineStr">
        <is>
          <t>RECEPCION</t>
        </is>
      </c>
      <c r="F17" t="inlineStr">
        <is>
          <t>NIXILETH ARRIZGA</t>
        </is>
      </c>
      <c r="G17" t="inlineStr">
        <is>
          <t>DIFERENCIA ENTRE CANTIDAD FISCALIZADA Y DOCUMENTO.</t>
        </is>
      </c>
      <c r="H17">
        <f>IF(G17="","",VLOOKUP(G17,REFERENCIA!$A$1:$B$15,2,0))</f>
        <v/>
      </c>
      <c r="I17" t="inlineStr">
        <is>
          <t>FALTANTE DE 200GR DE CAMBUR</t>
        </is>
      </c>
      <c r="J17" s="4" t="n">
        <v>0.3</v>
      </c>
      <c r="K17" s="7" t="inlineStr">
        <is>
          <t>00003748</t>
        </is>
      </c>
    </row>
    <row r="18">
      <c r="A18" t="inlineStr">
        <is>
          <t>GUACARA</t>
        </is>
      </c>
      <c r="B18" t="inlineStr">
        <is>
          <t>ECO CARNES</t>
        </is>
      </c>
      <c r="C18" t="n">
        <v>3947</v>
      </c>
      <c r="D18" s="3" t="n">
        <v>46133</v>
      </c>
      <c r="E18" t="inlineStr">
        <is>
          <t>RECEPCION</t>
        </is>
      </c>
      <c r="F18" t="inlineStr">
        <is>
          <t>ROBERT NUÑEZ</t>
        </is>
      </c>
      <c r="G18" t="inlineStr">
        <is>
          <t>FISCALIZACIÓN A DESTIEMPO</t>
        </is>
      </c>
      <c r="H18">
        <f>IF(G18="","",VLOOKUP(G18,REFERENCIA!$A$1:$B$15,2,0))</f>
        <v/>
      </c>
      <c r="I18" t="inlineStr">
        <is>
          <t>FiSCALIZACION A DESTIEMPO</t>
        </is>
      </c>
    </row>
    <row r="19">
      <c r="A19" t="inlineStr">
        <is>
          <t>IPSFA</t>
        </is>
      </c>
      <c r="B19" t="inlineStr">
        <is>
          <t>LATIN FRUTS</t>
        </is>
      </c>
      <c r="C19" t="n">
        <v>6384</v>
      </c>
      <c r="D19" s="3" t="n">
        <v>46139</v>
      </c>
      <c r="E19" t="inlineStr">
        <is>
          <t>RECEPCION</t>
        </is>
      </c>
      <c r="F19" t="inlineStr">
        <is>
          <t>JOSE MAUREL</t>
        </is>
      </c>
      <c r="G19" t="inlineStr">
        <is>
          <t>PRODUCTO O SKU NO PERTENECE A LA RECEPCIÓN.</t>
        </is>
      </c>
      <c r="H19">
        <f>IF(G19="","",VLOOKUP(G19,REFERENCIA!$A$1:$B$15,2,0))</f>
        <v/>
      </c>
      <c r="I19" t="inlineStr">
        <is>
          <t xml:space="preserve">MANGOSTINO NO LLEGA EN LA RECEPCION </t>
        </is>
      </c>
    </row>
    <row r="20">
      <c r="A20" t="inlineStr">
        <is>
          <t>GUACARA</t>
        </is>
      </c>
      <c r="B20" t="inlineStr">
        <is>
          <t>LATIN FRUTS</t>
        </is>
      </c>
      <c r="C20" t="n">
        <v>6427</v>
      </c>
      <c r="D20" s="3" t="n">
        <v>46140</v>
      </c>
      <c r="E20" t="inlineStr">
        <is>
          <t>RECEPCION</t>
        </is>
      </c>
      <c r="F20" t="inlineStr">
        <is>
          <t>ELIANNYS VILLEGAS</t>
        </is>
      </c>
      <c r="G20" t="inlineStr">
        <is>
          <t>DOCUMENTACIÓN ERRÓNEA</t>
        </is>
      </c>
      <c r="H20">
        <f>IF(G20="","",VLOOKUP(G20,REFERENCIA!$A$1:$B$15,2,0))</f>
        <v/>
      </c>
      <c r="I20" t="inlineStr">
        <is>
          <t>SE CARGO EL DOCUMENTO EQUIVOCADO</t>
        </is>
      </c>
    </row>
    <row r="21">
      <c r="A21" t="inlineStr">
        <is>
          <t>IPSFA</t>
        </is>
      </c>
      <c r="B21" t="inlineStr">
        <is>
          <t>LOS SAMANES</t>
        </is>
      </c>
      <c r="C21" t="n">
        <v>5137</v>
      </c>
      <c r="D21" s="3" t="n">
        <v>46140</v>
      </c>
      <c r="E21" t="inlineStr">
        <is>
          <t>RECEPCION</t>
        </is>
      </c>
      <c r="F21" t="inlineStr">
        <is>
          <t>MARCIA QUEVEDO</t>
        </is>
      </c>
      <c r="G21" t="inlineStr">
        <is>
          <t>ERROR DE KG EN TARA.</t>
        </is>
      </c>
      <c r="H21">
        <f>IF(G21="","",VLOOKUP(G21,REFERENCIA!$A$1:$B$15,2,0))</f>
        <v/>
      </c>
      <c r="I21" t="inlineStr">
        <is>
          <t>SE CARGARON LAS TARAS EN 2,3KG Y SON DE 2,2KG GENERA UN FALTANTE DE 500GR</t>
        </is>
      </c>
      <c r="J21" s="5" t="n">
        <v>0.17</v>
      </c>
    </row>
    <row r="22">
      <c r="A22" t="inlineStr">
        <is>
          <t>GUACARA</t>
        </is>
      </c>
      <c r="B22" t="inlineStr">
        <is>
          <t>CAVA LUXOR</t>
        </is>
      </c>
      <c r="C22" t="n">
        <v>106749</v>
      </c>
      <c r="D22" s="3" t="n">
        <v>45777</v>
      </c>
      <c r="E22" t="inlineStr">
        <is>
          <t>RECEPCION</t>
        </is>
      </c>
      <c r="F22" t="inlineStr">
        <is>
          <t>GABRIELA VIVAS</t>
        </is>
      </c>
      <c r="G22" t="inlineStr">
        <is>
          <t>PRODUCTO O SKU NO PERTENECE A LA RECEPCIÓN.</t>
        </is>
      </c>
      <c r="H22">
        <f>IF(G22="","",VLOOKUP(G22,REFERENCIA!$A$1:$B$15,2,0))</f>
        <v/>
      </c>
      <c r="I22" t="inlineStr">
        <is>
          <t>SKU EQUIVOCADO NO PERTENECE A LA RECEPCION</t>
        </is>
      </c>
    </row>
    <row r="23">
      <c r="A23" t="inlineStr">
        <is>
          <t>IPSFA</t>
        </is>
      </c>
      <c r="B23" t="inlineStr">
        <is>
          <t>CORVARA</t>
        </is>
      </c>
      <c r="C23" t="n">
        <v>31047</v>
      </c>
      <c r="D23" s="3" t="n">
        <v>45777</v>
      </c>
      <c r="E23" t="inlineStr">
        <is>
          <t>RECEPCION</t>
        </is>
      </c>
      <c r="F23" t="inlineStr">
        <is>
          <t>RICARDO RUIZ</t>
        </is>
      </c>
      <c r="G23" t="inlineStr">
        <is>
          <t>FISCALIZACIÓN A DESTIEMPO</t>
        </is>
      </c>
      <c r="H23">
        <f>IF(G23="","",VLOOKUP(G23,REFERENCIA!$A$1:$B$15,2,0))</f>
        <v/>
      </c>
      <c r="I23" t="inlineStr">
        <is>
          <t>SE CARGO EL SKU UNA HORA DESPUES DE HACER EL PESAJE</t>
        </is>
      </c>
    </row>
    <row r="24">
      <c r="H24">
        <f>IF(G24="","",VLOOKUP(G24,REFERENCIA!$A$1:$B$15,2,0))</f>
        <v/>
      </c>
    </row>
    <row r="25">
      <c r="H25">
        <f>IF(G25="","",VLOOKUP(G25,REFERENCIA!$A$1:$B$15,2,0))</f>
        <v/>
      </c>
    </row>
    <row r="26">
      <c r="H26">
        <f>IF(G26="","",VLOOKUP(G26,REFERENCIA!$A$1:$B$15,2,0))</f>
        <v/>
      </c>
    </row>
    <row r="27">
      <c r="H27">
        <f>IF(G27="","",VLOOKUP(G27,REFERENCIA!$A$1:$B$15,2,0))</f>
        <v/>
      </c>
    </row>
    <row r="28">
      <c r="H28">
        <f>IF(G28="","",VLOOKUP(G28,REFERENCIA!$A$1:$B$15,2,0))</f>
        <v/>
      </c>
    </row>
    <row r="29">
      <c r="H29">
        <f>IF(G29="","",VLOOKUP(G29,REFERENCIA!$A$1:$B$15,2,0))</f>
        <v/>
      </c>
    </row>
    <row r="30">
      <c r="H30">
        <f>IF(G30="","",VLOOKUP(G30,REFERENCIA!$A$1:$B$15,2,0))</f>
        <v/>
      </c>
    </row>
    <row r="31">
      <c r="H31">
        <f>IF(G31="","",VLOOKUP(G31,REFERENCIA!$A$1:$B$15,2,0))</f>
        <v/>
      </c>
    </row>
    <row r="32">
      <c r="H32">
        <f>IF(G32="","",VLOOKUP(G32,REFERENCIA!$A$1:$B$15,2,0))</f>
        <v/>
      </c>
    </row>
    <row r="33">
      <c r="H33">
        <f>IF(G33="","",VLOOKUP(G33,REFERENCIA!$A$1:$B$15,2,0))</f>
        <v/>
      </c>
    </row>
    <row r="34">
      <c r="H34">
        <f>IF(G34="","",VLOOKUP(G34,REFERENCIA!$A$1:$B$15,2,0))</f>
        <v/>
      </c>
    </row>
    <row r="35">
      <c r="H35">
        <f>IF(G35="","",VLOOKUP(G35,REFERENCIA!$A$1:$B$15,2,0))</f>
        <v/>
      </c>
    </row>
    <row r="36">
      <c r="H36">
        <f>IF(G36="","",VLOOKUP(G36,REFERENCIA!$A$1:$B$15,2,0))</f>
        <v/>
      </c>
    </row>
    <row r="37">
      <c r="H37">
        <f>IF(G37="","",VLOOKUP(G37,REFERENCIA!$A$1:$B$15,2,0))</f>
        <v/>
      </c>
    </row>
    <row r="38">
      <c r="H38">
        <f>IF(G38="","",VLOOKUP(G38,REFERENCIA!$A$1:$B$15,2,0))</f>
        <v/>
      </c>
    </row>
    <row r="39">
      <c r="H39">
        <f>IF(G39="","",VLOOKUP(G39,REFERENCIA!$A$1:$B$15,2,0))</f>
        <v/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9.23046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2026-06-05T14:04:42Z</dcterms:modified>
  <cp:lastModifiedBy>Admin</cp:lastModifiedBy>
</cp:coreProperties>
</file>