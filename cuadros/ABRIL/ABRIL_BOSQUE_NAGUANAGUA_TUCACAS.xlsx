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Hoja1" sheetId="2" state="visible" r:id="rId2"/>
    <sheet xmlns:r="http://schemas.openxmlformats.org/officeDocument/2006/relationships" name="REFERENCIA" sheetId="3" state="hidden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Arial Rounded MT Bold"/>
      <family val="2"/>
      <color theme="1"/>
      <sz val="10"/>
    </font>
    <font>
      <name val="Calibri"/>
      <family val="2"/>
      <color theme="1"/>
      <sz val="10"/>
    </font>
    <font>
      <name val="Arial"/>
      <family val="2"/>
      <color rgb="FF1A202C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14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  <xf numFmtId="14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wrapText="1"/>
    </xf>
    <xf numFmtId="49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center"/>
    </xf>
    <xf numFmtId="14" fontId="2" fillId="0" borderId="1" applyAlignment="1" pivotButton="0" quotePrefix="0" xfId="0">
      <alignment horizontal="center"/>
    </xf>
    <xf numFmtId="49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wrapText="1"/>
    </xf>
    <xf numFmtId="0" fontId="0" fillId="4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3"/>
  <sheetViews>
    <sheetView tabSelected="1" topLeftCell="B1" zoomScale="85" zoomScaleNormal="85" workbookViewId="0">
      <selection activeCell="J25" activeCellId="1" sqref="J7 J25"/>
    </sheetView>
  </sheetViews>
  <sheetFormatPr baseColWidth="10" defaultColWidth="9.07421875" defaultRowHeight="14.6"/>
  <cols>
    <col width="19.07421875" customWidth="1" min="1" max="1"/>
    <col width="40.84375" customWidth="1" min="2" max="2"/>
    <col width="16.3046875" customWidth="1" min="3" max="3"/>
    <col width="22.84375" customWidth="1" min="4" max="4"/>
    <col width="18" customWidth="1" min="5" max="5"/>
    <col width="37.84375" customWidth="1" min="6" max="6"/>
    <col width="45" customWidth="1" min="7" max="7"/>
    <col width="21.3046875" customWidth="1" min="8" max="8"/>
    <col width="69.53515625" customWidth="1" min="9" max="9"/>
    <col width="14.07421875" customWidth="1" min="10" max="10"/>
    <col width="16.3046875" customWidth="1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TUCACAS</t>
        </is>
      </c>
      <c r="B2" s="22" t="inlineStr">
        <is>
          <t>ADOLFO'S VICAR, C.A</t>
        </is>
      </c>
      <c r="C2" s="22" t="n">
        <v>13335</v>
      </c>
      <c r="D2" s="11" t="n">
        <v>46113</v>
      </c>
      <c r="E2" s="12" t="inlineStr">
        <is>
          <t>RECEPCION</t>
        </is>
      </c>
      <c r="F2" s="21" t="inlineStr">
        <is>
          <t>GERENTE JUAN MEZA</t>
        </is>
      </c>
      <c r="G2" s="30" t="inlineStr">
        <is>
          <t>RECEPCIÓN SIN AUTORIZACIÓN DE CMF.</t>
        </is>
      </c>
      <c r="H2" s="30">
        <f>IF(G2="","",VLOOKUP(G2,REFERENCIA!$A$1:$B$14,2,0))</f>
        <v/>
      </c>
      <c r="I2" s="21" t="inlineStr">
        <is>
          <t>RECEPCION SIN AUTORIZACION DE CMF</t>
        </is>
      </c>
      <c r="J2" s="21" t="n"/>
      <c r="K2" s="30" t="n"/>
    </row>
    <row r="3">
      <c r="A3" s="2" t="inlineStr">
        <is>
          <t>BOSQUE</t>
        </is>
      </c>
      <c r="B3" s="22" t="inlineStr">
        <is>
          <t>FRUMIX, C.A</t>
        </is>
      </c>
      <c r="C3" s="22" t="n">
        <v>9271</v>
      </c>
      <c r="D3" s="11" t="n">
        <v>46113</v>
      </c>
      <c r="E3" s="12" t="inlineStr">
        <is>
          <t>RECEPCION</t>
        </is>
      </c>
      <c r="F3" s="21" t="inlineStr">
        <is>
          <t>SUB VIRGILIO ARAUJO</t>
        </is>
      </c>
      <c r="G3" s="30" t="inlineStr">
        <is>
          <t>NÚMERO DE CONTROL O DOCUMENTO ERRÓNEO.</t>
        </is>
      </c>
      <c r="H3" s="30">
        <f>IF(G3="","",VLOOKUP(G3,REFERENCIA!$A$1:$B$14,2,0))</f>
        <v/>
      </c>
      <c r="I3" s="21" t="inlineStr">
        <is>
          <t>NUMERO DE CONTROL INCORRECTO</t>
        </is>
      </c>
      <c r="J3" s="21" t="n"/>
      <c r="K3" s="30" t="n"/>
    </row>
    <row r="4">
      <c r="A4" s="2" t="inlineStr">
        <is>
          <t>BOSQUE</t>
        </is>
      </c>
      <c r="B4" s="22" t="inlineStr">
        <is>
          <t>ADOLFO'S VICAR, C.A</t>
        </is>
      </c>
      <c r="C4" s="22" t="n">
        <v>13327</v>
      </c>
      <c r="D4" s="11" t="n">
        <v>46113</v>
      </c>
      <c r="E4" s="12" t="inlineStr">
        <is>
          <t>RECEPCION</t>
        </is>
      </c>
      <c r="F4" s="21" t="inlineStr">
        <is>
          <t>SUB VIRGILIO ARAUJO</t>
        </is>
      </c>
      <c r="G4" s="30" t="inlineStr">
        <is>
          <t>ERROR DE KG EN TARA.</t>
        </is>
      </c>
      <c r="H4" s="30">
        <f>IF(G4="","",VLOOKUP(G4,REFERENCIA!$A$1:$B$14,2,0))</f>
        <v/>
      </c>
      <c r="I4" s="21" t="inlineStr">
        <is>
          <t>ERROR EN TARA, 2.6KG DE CILANTRO</t>
        </is>
      </c>
      <c r="J4" s="27" t="n">
        <v>3.9</v>
      </c>
      <c r="K4" s="30" t="n"/>
    </row>
    <row r="5">
      <c r="A5" s="2" t="inlineStr">
        <is>
          <t>TUCACAS</t>
        </is>
      </c>
      <c r="B5" s="22" t="inlineStr">
        <is>
          <t>INVERSIONES LAS PATRONAS, C.A</t>
        </is>
      </c>
      <c r="C5" s="22" t="n">
        <v>246</v>
      </c>
      <c r="D5" s="11" t="n">
        <v>46113</v>
      </c>
      <c r="E5" s="12" t="inlineStr">
        <is>
          <t>RECEPCION</t>
        </is>
      </c>
      <c r="F5" s="21" t="inlineStr">
        <is>
          <t>SUB GENESIS COBOS</t>
        </is>
      </c>
      <c r="G5" s="30" t="inlineStr">
        <is>
          <t>ERROR DE KG EN TARA.</t>
        </is>
      </c>
      <c r="H5" s="30">
        <f>IF(G5="","",VLOOKUP(G5,REFERENCIA!$A$1:$B$14,2,0))</f>
        <v/>
      </c>
      <c r="I5" s="21" t="inlineStr">
        <is>
          <t>ERROR EN TARA, 2.6KG DE GUAYABA</t>
        </is>
      </c>
      <c r="J5" s="27" t="n">
        <v>1.69</v>
      </c>
      <c r="K5" s="30" t="n"/>
    </row>
    <row r="6">
      <c r="A6" s="2" t="inlineStr">
        <is>
          <t>NAGUANAGUA</t>
        </is>
      </c>
      <c r="B6" s="22" t="inlineStr">
        <is>
          <t>ECO CARNES, C.A</t>
        </is>
      </c>
      <c r="C6" s="22" t="n">
        <v>12706</v>
      </c>
      <c r="D6" s="11" t="n">
        <v>46113</v>
      </c>
      <c r="E6" s="12" t="inlineStr">
        <is>
          <t>RECEPCION</t>
        </is>
      </c>
      <c r="F6" s="21" t="inlineStr">
        <is>
          <t>GERENTE ANGEL LARREAL</t>
        </is>
      </c>
      <c r="G6" s="30" t="inlineStr">
        <is>
          <t>DIFERENCIA ENTRE CANTIDAD FISCALIZADA Y DOCUMENTO.</t>
        </is>
      </c>
      <c r="H6" s="30">
        <f>IF(G6="","",VLOOKUP(G6,REFERENCIA!$A$1:$B$14,2,0))</f>
        <v/>
      </c>
      <c r="I6" s="21" t="inlineStr">
        <is>
          <t xml:space="preserve">ERROR EN EVA, 32.4KG </t>
        </is>
      </c>
      <c r="J6" s="27" t="n">
        <v>57.1</v>
      </c>
      <c r="K6" s="30" t="n"/>
    </row>
    <row r="7" ht="29.15" customHeight="1">
      <c r="A7" s="2" t="inlineStr">
        <is>
          <t>TUCACAS</t>
        </is>
      </c>
      <c r="B7" s="22" t="inlineStr">
        <is>
          <t>ADOLFO'S VICAR, C.A</t>
        </is>
      </c>
      <c r="C7" s="22" t="n">
        <v>13335</v>
      </c>
      <c r="D7" s="11" t="n">
        <v>46113</v>
      </c>
      <c r="E7" s="12" t="inlineStr">
        <is>
          <t>RECEPCION</t>
        </is>
      </c>
      <c r="F7" s="21" t="inlineStr">
        <is>
          <t>GERENTE JUAN MEZA</t>
        </is>
      </c>
      <c r="G7" s="30" t="inlineStr">
        <is>
          <t>NO FISCALIZÓ UNO O VARIOS PRODUCTOS</t>
        </is>
      </c>
      <c r="H7" s="30">
        <f>IF(G7="","",VLOOKUP(G7,REFERENCIA!$A$1:$B$14,2,0))</f>
        <v/>
      </c>
      <c r="I7" s="21" t="inlineStr">
        <is>
          <t>NO FISCALIZÓ UNO O MAS PRODUCTOS, PAPA LAVADA 20KG, LECHUGA ROMANA 71.6KG|</t>
        </is>
      </c>
      <c r="J7" s="21" t="n">
        <v>86.86</v>
      </c>
      <c r="K7" s="30" t="n"/>
    </row>
    <row r="8">
      <c r="A8" s="2" t="inlineStr">
        <is>
          <t>BOSQUE</t>
        </is>
      </c>
      <c r="B8" s="22" t="inlineStr">
        <is>
          <t>AGROPECUARIA PUNTA LARGA, C.A|</t>
        </is>
      </c>
      <c r="C8" s="22" t="n">
        <v>2966</v>
      </c>
      <c r="D8" s="11" t="n">
        <v>46114</v>
      </c>
      <c r="E8" s="12" t="inlineStr">
        <is>
          <t>RECEPCION</t>
        </is>
      </c>
      <c r="F8" s="21" t="inlineStr">
        <is>
          <t>SUB VICTOR SALCEDO</t>
        </is>
      </c>
      <c r="G8" s="30" t="inlineStr">
        <is>
          <t>DIFERENCIA ENTRE CANTIDAD FISCALIZADA Y DOCUMENTO.</t>
        </is>
      </c>
      <c r="H8" s="30">
        <f>IF(G8="","",VLOOKUP(G8,REFERENCIA!$A$1:$B$14,2,0))</f>
        <v/>
      </c>
      <c r="I8" s="21" t="inlineStr">
        <is>
          <t>FALTANTE DE 3KG DE CAMBUR</t>
        </is>
      </c>
      <c r="J8" s="20" t="n">
        <v>4.35</v>
      </c>
      <c r="K8" s="30" t="n">
        <v>133503</v>
      </c>
    </row>
    <row r="9">
      <c r="A9" s="2" t="inlineStr">
        <is>
          <t>BOSQUE</t>
        </is>
      </c>
      <c r="B9" s="22" t="inlineStr">
        <is>
          <t>VERONA EMBUTIDOS, C.A</t>
        </is>
      </c>
      <c r="C9" s="22" t="n">
        <v>345</v>
      </c>
      <c r="D9" s="11" t="n">
        <v>46114</v>
      </c>
      <c r="E9" s="12" t="inlineStr">
        <is>
          <t>RECEPCION</t>
        </is>
      </c>
      <c r="F9" s="21" t="inlineStr">
        <is>
          <t>SUB SUGGEY  CASTRO</t>
        </is>
      </c>
      <c r="G9" s="30" t="inlineStr">
        <is>
          <t>NO FISCALIZÓ UNO O VARIOS PRODUCTOS</t>
        </is>
      </c>
      <c r="H9" s="30">
        <f>IF(G9="","",VLOOKUP(G9,REFERENCIA!$A$1:$B$14,2,0))</f>
        <v/>
      </c>
      <c r="I9" s="21" t="inlineStr">
        <is>
          <t>NO FISCALIZÓ, 28.8KG DE CHULETA</t>
        </is>
      </c>
      <c r="J9" s="21" t="n">
        <v>167.04</v>
      </c>
      <c r="K9" s="30" t="n"/>
    </row>
    <row r="10">
      <c r="A10" s="22" t="inlineStr">
        <is>
          <t>TUCACAS</t>
        </is>
      </c>
      <c r="B10" s="22" t="inlineStr">
        <is>
          <t>CERVECERIA REGIONAL</t>
        </is>
      </c>
      <c r="C10" s="22" t="n">
        <v>222162</v>
      </c>
      <c r="D10" s="7" t="n">
        <v>46115</v>
      </c>
      <c r="E10" s="8" t="inlineStr">
        <is>
          <t>RECEPCION</t>
        </is>
      </c>
      <c r="F10" s="22" t="inlineStr">
        <is>
          <t>GERENTE JUAN MEZA</t>
        </is>
      </c>
      <c r="G10" s="30" t="inlineStr">
        <is>
          <t>RECEPCIÓN SIN AUTORIZACIÓN DE CMF.</t>
        </is>
      </c>
      <c r="H10" s="30">
        <f>IF(G10="","",VLOOKUP(G10,REFERENCIA!$A$1:$B$14,2,0))</f>
        <v/>
      </c>
      <c r="I10" s="22" t="inlineStr">
        <is>
          <t>RECEPCION SIN AUTORIZACION DE CMF</t>
        </is>
      </c>
      <c r="J10" s="21" t="n"/>
      <c r="K10" s="30" t="n"/>
    </row>
    <row r="11">
      <c r="A11" s="22" t="inlineStr">
        <is>
          <t>TUCACAS</t>
        </is>
      </c>
      <c r="B11" s="22" t="inlineStr">
        <is>
          <t>DISTRIBUIDORA VPA, C.A</t>
        </is>
      </c>
      <c r="C11" s="22" t="n">
        <v>871</v>
      </c>
      <c r="D11" s="7" t="n">
        <v>46115</v>
      </c>
      <c r="E11" s="8" t="inlineStr">
        <is>
          <t>RECEPCION</t>
        </is>
      </c>
      <c r="F11" s="22" t="inlineStr">
        <is>
          <t>GERENTE JUAN MEZA</t>
        </is>
      </c>
      <c r="G11" s="30" t="inlineStr">
        <is>
          <t>RECEPCIÓN SIN AUTORIZACIÓN DE CMF.</t>
        </is>
      </c>
      <c r="H11" s="30">
        <f>IF(G11="","",VLOOKUP(G11,REFERENCIA!$A$1:$B$14,2,0))</f>
        <v/>
      </c>
      <c r="I11" s="22" t="inlineStr">
        <is>
          <t>RECEPCION SIN AUTORIZACION DE CMF</t>
        </is>
      </c>
      <c r="J11" s="21" t="n"/>
      <c r="K11" s="30" t="n"/>
    </row>
    <row r="12">
      <c r="A12" s="22" t="inlineStr">
        <is>
          <t>TUCACAS</t>
        </is>
      </c>
      <c r="B12" s="22" t="inlineStr">
        <is>
          <t>HIELO BARQUISIMEMTO, C,A</t>
        </is>
      </c>
      <c r="C12" s="4" t="n">
        <v>30426</v>
      </c>
      <c r="D12" s="7" t="n">
        <v>46115</v>
      </c>
      <c r="E12" s="8" t="inlineStr">
        <is>
          <t>RECEPCION</t>
        </is>
      </c>
      <c r="F12" s="22" t="inlineStr">
        <is>
          <t>SUB CARLOS PARACO</t>
        </is>
      </c>
      <c r="G12" s="30" t="inlineStr">
        <is>
          <t>RECEPCIÓN SIN AUTORIZACIÓN DE CMF.</t>
        </is>
      </c>
      <c r="H12" s="30">
        <f>IF(G12="","",VLOOKUP(G12,REFERENCIA!$A$1:$B$14,2,0))</f>
        <v/>
      </c>
      <c r="I12" s="22" t="inlineStr">
        <is>
          <t>RECEPCION SIN AUTORIZACION DE CMF</t>
        </is>
      </c>
      <c r="J12" s="21" t="n"/>
      <c r="K12" s="30" t="n"/>
    </row>
    <row r="13">
      <c r="A13" s="2" t="inlineStr">
        <is>
          <t>TUCACAS</t>
        </is>
      </c>
      <c r="B13" s="22" t="inlineStr">
        <is>
          <t>AGROPECUARIA LATIN FRUITS, C.A</t>
        </is>
      </c>
      <c r="C13" s="22" t="n">
        <v>6067</v>
      </c>
      <c r="D13" s="11" t="n">
        <v>46115</v>
      </c>
      <c r="E13" s="12" t="inlineStr">
        <is>
          <t>RECEPCION</t>
        </is>
      </c>
      <c r="F13" s="21" t="inlineStr">
        <is>
          <t>GERENTE JUAN MEZA</t>
        </is>
      </c>
      <c r="G13" s="30" t="inlineStr">
        <is>
          <t>RECEPCIÓN SIN AUTORIZACIÓN DE CMF.</t>
        </is>
      </c>
      <c r="H13" s="30">
        <f>IF(G13="","",VLOOKUP(G13,REFERENCIA!$A$1:$B$14,2,0))</f>
        <v/>
      </c>
      <c r="I13" s="21" t="inlineStr">
        <is>
          <t>RECEPCION SIN AUTORIZACION DE CMF</t>
        </is>
      </c>
      <c r="J13" s="21" t="n"/>
      <c r="K13" s="30" t="n"/>
    </row>
    <row r="14">
      <c r="A14" s="2" t="inlineStr">
        <is>
          <t>TUCACAS</t>
        </is>
      </c>
      <c r="B14" s="22" t="inlineStr">
        <is>
          <t>AGROPECUARIA LATIN FRUITS, C.A</t>
        </is>
      </c>
      <c r="C14" s="22" t="n">
        <v>6040</v>
      </c>
      <c r="D14" s="11" t="n">
        <v>46115</v>
      </c>
      <c r="E14" s="12" t="inlineStr">
        <is>
          <t>RECEPCION</t>
        </is>
      </c>
      <c r="F14" s="21" t="inlineStr">
        <is>
          <t>GERENTE JUAN MEZA</t>
        </is>
      </c>
      <c r="G14" s="30" t="inlineStr">
        <is>
          <t>RECEPCIÓN SIN AUTORIZACIÓN DE CMF.</t>
        </is>
      </c>
      <c r="H14" s="30">
        <f>IF(G14="","",VLOOKUP(G14,REFERENCIA!$A$1:$B$14,2,0))</f>
        <v/>
      </c>
      <c r="I14" s="21" t="inlineStr">
        <is>
          <t>RECEPCION SIN AUTORIZACION DE CMF</t>
        </is>
      </c>
      <c r="J14" s="21" t="n"/>
      <c r="K14" s="30" t="n"/>
    </row>
    <row r="15">
      <c r="A15" s="2" t="inlineStr">
        <is>
          <t>TUCACAS</t>
        </is>
      </c>
      <c r="B15" s="22" t="inlineStr">
        <is>
          <t>AGROPECUARIA LATIN FRUITS, C.A</t>
        </is>
      </c>
      <c r="C15" s="22" t="n">
        <v>6040</v>
      </c>
      <c r="D15" s="11" t="n">
        <v>46115</v>
      </c>
      <c r="E15" s="12" t="inlineStr">
        <is>
          <t>RECEPCION</t>
        </is>
      </c>
      <c r="F15" s="21" t="inlineStr">
        <is>
          <t>GERENTE JUAN MEZA</t>
        </is>
      </c>
      <c r="G15" s="30" t="inlineStr">
        <is>
          <t>FISCALIZACIÓN A DESTIEMPO</t>
        </is>
      </c>
      <c r="H15" s="30" t="n"/>
      <c r="I15" s="21" t="inlineStr">
        <is>
          <t>FISCALIZACION A DESTIEMPO</t>
        </is>
      </c>
      <c r="J15" s="21" t="n"/>
      <c r="K15" s="30" t="n"/>
    </row>
    <row r="16">
      <c r="A16" s="22" t="inlineStr">
        <is>
          <t>NAGUANAGUA</t>
        </is>
      </c>
      <c r="B16" s="4" t="inlineStr">
        <is>
          <t>SAPORI, C.A</t>
        </is>
      </c>
      <c r="C16" s="4" t="n">
        <v>36561</v>
      </c>
      <c r="D16" s="7" t="n">
        <v>46120</v>
      </c>
      <c r="E16" s="8" t="inlineStr">
        <is>
          <t>RECEPCION</t>
        </is>
      </c>
      <c r="F16" s="22" t="inlineStr">
        <is>
          <t>SUB REINALDO SILVA</t>
        </is>
      </c>
      <c r="G16" s="30" t="inlineStr">
        <is>
          <t>FISCALIZACIÓN A DESTIEMPO</t>
        </is>
      </c>
      <c r="H16" s="30">
        <f>IF(G16="","",VLOOKUP(G16,REFERENCIA!$A$1:$B$14,2,0))</f>
        <v/>
      </c>
      <c r="I16" s="22" t="inlineStr">
        <is>
          <t>FISCALIZACION A DESTIEMPO</t>
        </is>
      </c>
      <c r="J16" s="21" t="n"/>
      <c r="K16" s="30" t="n"/>
    </row>
    <row r="17">
      <c r="A17" s="22" t="inlineStr">
        <is>
          <t>NAGUANAGUA</t>
        </is>
      </c>
      <c r="B17" s="4" t="inlineStr">
        <is>
          <t>COMERCIALIZADORA Y FERREAGRO SANTOS 7</t>
        </is>
      </c>
      <c r="C17" s="4" t="n">
        <v>2646</v>
      </c>
      <c r="D17" s="7" t="n">
        <v>46120</v>
      </c>
      <c r="E17" s="8" t="inlineStr">
        <is>
          <t>RECEPCION</t>
        </is>
      </c>
      <c r="F17" s="22" t="inlineStr">
        <is>
          <t>SUB REINALDO SILVA</t>
        </is>
      </c>
      <c r="G17" s="30" t="inlineStr">
        <is>
          <t>FISCALIZACIÓN A DESTIEMPO</t>
        </is>
      </c>
      <c r="H17" s="30">
        <f>IF(G17="","",VLOOKUP(G17,REFERENCIA!$A$1:$B$14,2,0))</f>
        <v/>
      </c>
      <c r="I17" s="22" t="inlineStr">
        <is>
          <t>FISCALIZACION A DESTIEMPO</t>
        </is>
      </c>
      <c r="J17" s="21" t="n"/>
      <c r="K17" s="30" t="n"/>
    </row>
    <row r="18">
      <c r="A18" s="22" t="inlineStr">
        <is>
          <t>NAGUANAGUA</t>
        </is>
      </c>
      <c r="B18" s="22" t="inlineStr">
        <is>
          <t>ALIMENTOS POLAR COMERCIAL, C.A</t>
        </is>
      </c>
      <c r="C18" s="22" t="n">
        <v>8031304345</v>
      </c>
      <c r="D18" s="7" t="n">
        <v>46120</v>
      </c>
      <c r="E18" s="8" t="inlineStr">
        <is>
          <t>RECEPCION</t>
        </is>
      </c>
      <c r="F18" s="22" t="inlineStr">
        <is>
          <t>PCP ANDRES ARCILA</t>
        </is>
      </c>
      <c r="G18" s="30" t="inlineStr">
        <is>
          <t>FISCALIZACIÓN A DESTIEMPO</t>
        </is>
      </c>
      <c r="H18" s="30">
        <f>IF(G18="","",VLOOKUP(G18,REFERENCIA!$A$1:$B$14,2,0))</f>
        <v/>
      </c>
      <c r="I18" s="22" t="inlineStr">
        <is>
          <t>FISCALIZACION A DESTIEMPO</t>
        </is>
      </c>
      <c r="J18" s="21" t="n"/>
      <c r="K18" s="30" t="n"/>
    </row>
    <row r="19">
      <c r="A19" s="22" t="inlineStr">
        <is>
          <t>NAGUANAGUA</t>
        </is>
      </c>
      <c r="B19" s="22" t="inlineStr">
        <is>
          <t>CAVA LUXOR</t>
        </is>
      </c>
      <c r="C19" s="22" t="n">
        <v>3000011999</v>
      </c>
      <c r="D19" s="7" t="n">
        <v>46120</v>
      </c>
      <c r="E19" s="8" t="inlineStr">
        <is>
          <t>RECEPCION</t>
        </is>
      </c>
      <c r="F19" s="22" t="inlineStr">
        <is>
          <t>SUB STEVEN SERVET</t>
        </is>
      </c>
      <c r="G19" s="30" t="inlineStr">
        <is>
          <t>FISCALIZACIÓN A DESTIEMPO</t>
        </is>
      </c>
      <c r="H19" s="30">
        <f>IF(G19="","",VLOOKUP(G19,REFERENCIA!$A$1:$B$14,2,0))</f>
        <v/>
      </c>
      <c r="I19" s="22" t="inlineStr">
        <is>
          <t>FISCALIZACION A DESTIEMPO</t>
        </is>
      </c>
      <c r="J19" s="21" t="n"/>
      <c r="K19" s="30" t="n"/>
    </row>
    <row r="20">
      <c r="A20" s="13" t="inlineStr">
        <is>
          <t>NAGUANAGUA</t>
        </is>
      </c>
      <c r="B20" s="16" t="inlineStr">
        <is>
          <t>CAVA LUXOR</t>
        </is>
      </c>
      <c r="C20" s="14" t="inlineStr">
        <is>
          <t>300001885</t>
        </is>
      </c>
      <c r="D20" s="17" t="n">
        <v>46120</v>
      </c>
      <c r="E20" s="18" t="inlineStr">
        <is>
          <t>RECEPCION</t>
        </is>
      </c>
      <c r="F20" s="19" t="inlineStr">
        <is>
          <t>SUB STEVEN SERVET</t>
        </is>
      </c>
      <c r="G20" s="30" t="inlineStr">
        <is>
          <t>FISCALIZACIÓN A DESTIEMPO</t>
        </is>
      </c>
      <c r="H20" s="30">
        <f>IF(G20="","",VLOOKUP(G20,REFERENCIA!$A$1:$B$14,2,0))</f>
        <v/>
      </c>
      <c r="I20" s="23" t="inlineStr">
        <is>
          <t>FISCALIZACION A DESTIEMPO</t>
        </is>
      </c>
      <c r="J20" s="23" t="n"/>
      <c r="K20" s="30" t="n"/>
    </row>
    <row r="21">
      <c r="A21" s="13" t="inlineStr">
        <is>
          <t>NAGUANAGUA</t>
        </is>
      </c>
      <c r="B21" s="16" t="inlineStr">
        <is>
          <t>SERVICIOS SEPORVEN, C.A</t>
        </is>
      </c>
      <c r="C21" s="14" t="inlineStr">
        <is>
          <t>3005</t>
        </is>
      </c>
      <c r="D21" s="17" t="n">
        <v>46120</v>
      </c>
      <c r="E21" s="18" t="inlineStr">
        <is>
          <t>RECEPCION</t>
        </is>
      </c>
      <c r="F21" s="19" t="inlineStr">
        <is>
          <t>PCP JOSE MALUENGA</t>
        </is>
      </c>
      <c r="G21" s="30" t="inlineStr">
        <is>
          <t>FISCALIZACIÓN A DESTIEMPO</t>
        </is>
      </c>
      <c r="H21" s="30">
        <f>IF(G21="","",VLOOKUP(G21,REFERENCIA!$A$1:$B$14,2,0))</f>
        <v/>
      </c>
      <c r="I21" s="23" t="inlineStr">
        <is>
          <t>FISCALIZACION A DESTIEMPO</t>
        </is>
      </c>
      <c r="J21" s="23" t="n"/>
      <c r="K21" s="30" t="n"/>
    </row>
    <row r="22">
      <c r="A22" s="13" t="inlineStr">
        <is>
          <t>NAGUANAGUA</t>
        </is>
      </c>
      <c r="B22" s="16" t="inlineStr">
        <is>
          <t>CAVA LUXOR</t>
        </is>
      </c>
      <c r="C22" s="14" t="inlineStr">
        <is>
          <t>3000012114</t>
        </is>
      </c>
      <c r="D22" s="17" t="n">
        <v>46120</v>
      </c>
      <c r="E22" s="18" t="inlineStr">
        <is>
          <t>RECEPCION</t>
        </is>
      </c>
      <c r="F22" s="19" t="inlineStr">
        <is>
          <t>SUB STEVEN SERVET</t>
        </is>
      </c>
      <c r="G22" s="30" t="inlineStr">
        <is>
          <t>FISCALIZACIÓN A DESTIEMPO</t>
        </is>
      </c>
      <c r="H22" s="30">
        <f>IF(G22="","",VLOOKUP(G22,REFERENCIA!$A$1:$B$14,2,0))</f>
        <v/>
      </c>
      <c r="I22" s="23" t="inlineStr">
        <is>
          <t>FISCALIZACION A DESTIEMPO</t>
        </is>
      </c>
      <c r="J22" s="23" t="n"/>
      <c r="K22" s="30" t="n"/>
    </row>
    <row r="23">
      <c r="A23" s="22" t="inlineStr">
        <is>
          <t>NAGUANAGUA</t>
        </is>
      </c>
      <c r="B23" s="22" t="inlineStr">
        <is>
          <t>HATO EL OSO, C.A</t>
        </is>
      </c>
      <c r="C23" s="4" t="n">
        <v>50985</v>
      </c>
      <c r="D23" s="7" t="n">
        <v>46120</v>
      </c>
      <c r="E23" s="8" t="inlineStr">
        <is>
          <t>RECEPCION</t>
        </is>
      </c>
      <c r="F23" s="22" t="inlineStr">
        <is>
          <t>SUB STEVEN SERVET</t>
        </is>
      </c>
      <c r="G23" s="30" t="inlineStr">
        <is>
          <t>FISCALIZACIÓN A DESTIEMPO</t>
        </is>
      </c>
      <c r="H23" s="30">
        <f>IF(G23="","",VLOOKUP(G23,REFERENCIA!$A$1:$B$14,2,0))</f>
        <v/>
      </c>
      <c r="I23" s="22" t="inlineStr">
        <is>
          <t>FISCALIZACION A DESTIEMPO</t>
        </is>
      </c>
      <c r="J23" s="21" t="n"/>
      <c r="K23" s="30" t="n"/>
    </row>
    <row r="24">
      <c r="A24" s="22" t="inlineStr">
        <is>
          <t>NAGUANAGUA</t>
        </is>
      </c>
      <c r="B24" s="22" t="inlineStr">
        <is>
          <t>CAVA LUXOR</t>
        </is>
      </c>
      <c r="C24" s="22" t="n">
        <v>4747</v>
      </c>
      <c r="D24" s="7" t="n">
        <v>46120</v>
      </c>
      <c r="E24" s="8" t="inlineStr">
        <is>
          <t>RECEPCION</t>
        </is>
      </c>
      <c r="F24" s="22" t="inlineStr">
        <is>
          <t>SUB STEVEN SERVET</t>
        </is>
      </c>
      <c r="G24" s="30" t="inlineStr">
        <is>
          <t>FISCALIZACIÓN A DESTIEMPO</t>
        </is>
      </c>
      <c r="H24" s="30">
        <f>IF(G24="","",VLOOKUP(G24,REFERENCIA!$A$1:$B$14,2,0))</f>
        <v/>
      </c>
      <c r="I24" s="22" t="inlineStr">
        <is>
          <t>FISCALIZACION A DESTIEMPO</t>
        </is>
      </c>
      <c r="J24" s="21" t="n"/>
      <c r="K24" s="30" t="n"/>
    </row>
    <row r="25">
      <c r="A25" s="22" t="inlineStr">
        <is>
          <t>BOSQUE</t>
        </is>
      </c>
      <c r="B25" s="22" t="inlineStr">
        <is>
          <t>INVERSIONES LAS PATRONAS, C.A</t>
        </is>
      </c>
      <c r="C25" s="22" t="n">
        <v>320</v>
      </c>
      <c r="D25" s="7" t="n">
        <v>46121</v>
      </c>
      <c r="E25" s="8" t="inlineStr">
        <is>
          <t>RECEPCION</t>
        </is>
      </c>
      <c r="F25" s="22" t="inlineStr">
        <is>
          <t>SUB VICTOR SALCEDO</t>
        </is>
      </c>
      <c r="G25" s="30" t="inlineStr">
        <is>
          <t>RECEPCIÓN SIN AUTORIZACIÓN DE CMF.</t>
        </is>
      </c>
      <c r="H25" s="30">
        <f>IF(G25="","",VLOOKUP(G25,REFERENCIA!$A$1:$B$14,2,0))</f>
        <v/>
      </c>
      <c r="I25" s="22" t="inlineStr">
        <is>
          <t>RECEPCION ELIMINADA EN APP</t>
        </is>
      </c>
      <c r="J25" s="21" t="n">
        <v>1913.1</v>
      </c>
      <c r="K25" s="30" t="n"/>
    </row>
    <row r="26">
      <c r="A26" s="22" t="inlineStr">
        <is>
          <t>BOSQUE</t>
        </is>
      </c>
      <c r="B26" s="22" t="inlineStr">
        <is>
          <t>AGROPECUARIA PUNTA LARGA, C.A|</t>
        </is>
      </c>
      <c r="C26" s="22" t="n">
        <v>2958</v>
      </c>
      <c r="D26" s="7" t="n">
        <v>46125</v>
      </c>
      <c r="E26" s="8" t="inlineStr">
        <is>
          <t>RECEPCION</t>
        </is>
      </c>
      <c r="F26" s="22" t="inlineStr">
        <is>
          <t>SUB VIRGILIO ARAUJO</t>
        </is>
      </c>
      <c r="G26" s="30" t="inlineStr">
        <is>
          <t>PRODUCTO O SKU DUPLICADO.</t>
        </is>
      </c>
      <c r="H26" s="30">
        <f>IF(G26="","",VLOOKUP(G26,REFERENCIA!$A$1:$B$14,2,0))</f>
        <v/>
      </c>
      <c r="I26" s="24" t="inlineStr">
        <is>
          <t>SKU DUPLICADO</t>
        </is>
      </c>
      <c r="J26" s="10" t="n"/>
      <c r="K26" s="30" t="n"/>
    </row>
    <row r="27">
      <c r="A27" s="22" t="inlineStr">
        <is>
          <t>TUCACAS</t>
        </is>
      </c>
      <c r="B27" s="22" t="inlineStr">
        <is>
          <t>ALIMENTOS POLAR COMERCIAL, C.A</t>
        </is>
      </c>
      <c r="C27" s="22" t="n">
        <v>8031306009</v>
      </c>
      <c r="D27" s="7" t="n">
        <v>46127</v>
      </c>
      <c r="E27" s="8" t="inlineStr">
        <is>
          <t>RECEPCION</t>
        </is>
      </c>
      <c r="F27" s="22" t="inlineStr">
        <is>
          <t>SUB GENESIS COBOS</t>
        </is>
      </c>
      <c r="G27" s="30" t="inlineStr">
        <is>
          <t>RECEPCIÓN SIN AUTORIZACIÓN DE CMF.</t>
        </is>
      </c>
      <c r="H27" s="30">
        <f>IF(G27="","",VLOOKUP(G27,REFERENCIA!$A$1:$B$14,2,0))</f>
        <v/>
      </c>
      <c r="I27" s="22" t="inlineStr">
        <is>
          <t>RECEPCION SIN AUTORIZACION DE CMF</t>
        </is>
      </c>
      <c r="J27" s="21" t="n"/>
      <c r="K27" s="30" t="n"/>
    </row>
    <row r="28">
      <c r="A28" s="22" t="inlineStr">
        <is>
          <t>TUCACAS</t>
        </is>
      </c>
      <c r="B28" s="22" t="inlineStr">
        <is>
          <t>ALIMENTOS POLAR COMERCIAL, C.A</t>
        </is>
      </c>
      <c r="C28" s="22" t="n">
        <v>8031306005</v>
      </c>
      <c r="D28" s="7" t="n">
        <v>46127</v>
      </c>
      <c r="E28" s="8" t="inlineStr">
        <is>
          <t>RECEPCION</t>
        </is>
      </c>
      <c r="F28" s="22" t="inlineStr">
        <is>
          <t>SUB GENESIS COBOS</t>
        </is>
      </c>
      <c r="G28" s="30" t="inlineStr">
        <is>
          <t>RECEPCIÓN SIN AUTORIZACIÓN DE CMF.</t>
        </is>
      </c>
      <c r="H28" s="30">
        <f>IF(G28="","",VLOOKUP(G28,REFERENCIA!$A$1:$B$14,2,0))</f>
        <v/>
      </c>
      <c r="I28" s="22" t="inlineStr">
        <is>
          <t>RECEPCION SIN AUTORIZACION DE CMF</t>
        </is>
      </c>
      <c r="J28" s="21" t="n"/>
      <c r="K28" s="30" t="n"/>
    </row>
    <row r="29">
      <c r="A29" s="22" t="inlineStr">
        <is>
          <t>TUCACAS</t>
        </is>
      </c>
      <c r="B29" s="25" t="inlineStr">
        <is>
          <t>ALIMENTOS POLAR COMERCIAL, C.A</t>
        </is>
      </c>
      <c r="C29" s="25" t="n">
        <v>8031306007</v>
      </c>
      <c r="D29" s="7" t="n">
        <v>46127</v>
      </c>
      <c r="E29" s="8" t="inlineStr">
        <is>
          <t>RECEPCION</t>
        </is>
      </c>
      <c r="F29" s="22" t="inlineStr">
        <is>
          <t>SUB GENESIS COBOS</t>
        </is>
      </c>
      <c r="G29" s="30" t="inlineStr">
        <is>
          <t>RECEPCIÓN SIN AUTORIZACIÓN DE CMF.</t>
        </is>
      </c>
      <c r="H29" s="30">
        <f>IF(G29="","",VLOOKUP(G29,REFERENCIA!$A$1:$B$14,2,0))</f>
        <v/>
      </c>
      <c r="I29" s="25" t="inlineStr">
        <is>
          <t>RECEPCION SIN AUTORIZACION DE CMF</t>
        </is>
      </c>
      <c r="J29" s="10" t="n"/>
      <c r="K29" s="30" t="n"/>
    </row>
    <row r="30">
      <c r="A30" s="22" t="inlineStr">
        <is>
          <t>TUCACAS</t>
        </is>
      </c>
      <c r="B30" s="25" t="inlineStr">
        <is>
          <t>ALIMENTOS POLAR COMERCIAL, C.A</t>
        </is>
      </c>
      <c r="C30" s="25" t="n">
        <v>8031306008</v>
      </c>
      <c r="D30" s="7" t="n">
        <v>46127</v>
      </c>
      <c r="E30" s="8" t="inlineStr">
        <is>
          <t>RECEPCION</t>
        </is>
      </c>
      <c r="F30" s="22" t="inlineStr">
        <is>
          <t>SUB GENESIS COBOS</t>
        </is>
      </c>
      <c r="G30" s="30" t="inlineStr">
        <is>
          <t>RECEPCIÓN SIN AUTORIZACIÓN DE CMF.</t>
        </is>
      </c>
      <c r="H30" s="30">
        <f>IF(G30="","",VLOOKUP(G30,REFERENCIA!$A$1:$B$14,2,0))</f>
        <v/>
      </c>
      <c r="I30" s="25" t="inlineStr">
        <is>
          <t>RECEPCION SIN AUTORIZACION DE CMF</t>
        </is>
      </c>
      <c r="J30" s="10" t="n"/>
      <c r="K30" s="30" t="n"/>
    </row>
    <row r="31">
      <c r="A31" s="22" t="inlineStr">
        <is>
          <t>TUCACAS</t>
        </is>
      </c>
      <c r="B31" s="25" t="inlineStr">
        <is>
          <t>ALIMENTOS POLAR COMERCIAL, C.A</t>
        </is>
      </c>
      <c r="C31" s="25" t="n">
        <v>8031306006</v>
      </c>
      <c r="D31" s="7" t="n">
        <v>46127</v>
      </c>
      <c r="E31" s="8" t="inlineStr">
        <is>
          <t>RECEPCION</t>
        </is>
      </c>
      <c r="F31" s="22" t="inlineStr">
        <is>
          <t>SUB GENESIS COBOS</t>
        </is>
      </c>
      <c r="G31" s="30" t="inlineStr">
        <is>
          <t>RECEPCIÓN SIN AUTORIZACIÓN DE CMF.</t>
        </is>
      </c>
      <c r="H31" s="30">
        <f>IF(G31="","",VLOOKUP(G31,REFERENCIA!$A$1:$B$14,2,0))</f>
        <v/>
      </c>
      <c r="I31" s="25" t="inlineStr">
        <is>
          <t>RECEPCION SIN AUTORIZACION DE CMF</t>
        </is>
      </c>
      <c r="J31" s="10" t="n"/>
      <c r="K31" s="30" t="n"/>
    </row>
    <row r="32">
      <c r="A32" s="22" t="inlineStr">
        <is>
          <t>BOSQUE</t>
        </is>
      </c>
      <c r="B32" s="25" t="inlineStr">
        <is>
          <t>DISTRIBUIDORA GADUCA,C .A</t>
        </is>
      </c>
      <c r="C32" s="25" t="inlineStr">
        <is>
          <t>D-000117245</t>
        </is>
      </c>
      <c r="D32" s="7" t="n">
        <v>46127</v>
      </c>
      <c r="E32" s="8" t="inlineStr">
        <is>
          <t>RECEPCION</t>
        </is>
      </c>
      <c r="F32" s="22" t="inlineStr">
        <is>
          <t>SUJB VIRGILIO ARAUJO</t>
        </is>
      </c>
      <c r="G32" s="30" t="inlineStr">
        <is>
          <t>NÚMERO DE CONTROL O DOCUMENTO ERRÓNEO.</t>
        </is>
      </c>
      <c r="H32" s="30">
        <f>IF(G32="","",VLOOKUP(G32,REFERENCIA!$A$1:$B$14,2,0))</f>
        <v/>
      </c>
      <c r="I32" s="26" t="inlineStr">
        <is>
          <t>NUMERO DE CONTROL INCORRECTO</t>
        </is>
      </c>
      <c r="J32" s="10" t="n"/>
      <c r="K32" s="30" t="n"/>
    </row>
    <row r="33">
      <c r="A33" s="22" t="inlineStr">
        <is>
          <t>NAGUANAGUA</t>
        </is>
      </c>
      <c r="B33" s="4" t="inlineStr">
        <is>
          <t>INVERSIONES AGROPECUARIA JEANDAVID, C.A</t>
        </is>
      </c>
      <c r="C33" s="4" t="n">
        <v>18352</v>
      </c>
      <c r="D33" s="7" t="n">
        <v>46128</v>
      </c>
      <c r="E33" s="8" t="inlineStr">
        <is>
          <t>RECEPCION</t>
        </is>
      </c>
      <c r="F33" s="22" t="inlineStr">
        <is>
          <t>LPCP VALERIA LAMEDA</t>
        </is>
      </c>
      <c r="G33" s="30" t="inlineStr">
        <is>
          <t>NÚMERO DE CONTROL O DOCUMENTO ERRÓNEO.</t>
        </is>
      </c>
      <c r="H33" s="30">
        <f>IF(G33="","",VLOOKUP(G33,REFERENCIA!$A$1:$B$14,2,0))</f>
        <v/>
      </c>
      <c r="I33" s="22" t="inlineStr">
        <is>
          <t>NUMERO DE CONTROL INCORRECTO</t>
        </is>
      </c>
      <c r="J33" s="21" t="n"/>
      <c r="K33" s="30" t="n"/>
    </row>
    <row r="34">
      <c r="A34" s="22" t="inlineStr">
        <is>
          <t>BOSQUE</t>
        </is>
      </c>
      <c r="B34" s="4" t="inlineStr">
        <is>
          <t>YEFFERSON MORGADO</t>
        </is>
      </c>
      <c r="C34" s="4" t="n">
        <v>125346</v>
      </c>
      <c r="D34" s="7" t="n">
        <v>46132</v>
      </c>
      <c r="E34" s="8" t="inlineStr">
        <is>
          <t>RECEPCION</t>
        </is>
      </c>
      <c r="F34" s="22" t="inlineStr">
        <is>
          <t>SUB VIRGILIO ARAUJO</t>
        </is>
      </c>
      <c r="G34" s="30" t="inlineStr">
        <is>
          <t>NÚMERO DE CONTROL O DOCUMENTO ERRÓNEO.</t>
        </is>
      </c>
      <c r="H34" s="30">
        <f>IF(G34="","",VLOOKUP(G34,REFERENCIA!$A$1:$B$14,2,0))</f>
        <v/>
      </c>
      <c r="I34" s="22" t="inlineStr">
        <is>
          <t>NUMERO DE CONTROL INCORRECTO</t>
        </is>
      </c>
      <c r="J34" s="21" t="n"/>
      <c r="K34" s="30" t="n"/>
    </row>
    <row r="35">
      <c r="A35" s="22" t="inlineStr">
        <is>
          <t>BOSQUE</t>
        </is>
      </c>
      <c r="B35" s="5" t="inlineStr">
        <is>
          <t>SUPLIDORA EL VIGIA</t>
        </is>
      </c>
      <c r="C35" s="5" t="n">
        <v>6067</v>
      </c>
      <c r="D35" s="7" t="n">
        <v>46132</v>
      </c>
      <c r="E35" s="8" t="inlineStr">
        <is>
          <t>RECEPCION</t>
        </is>
      </c>
      <c r="F35" s="22" t="inlineStr">
        <is>
          <t>SUB VIRGILIO ARAUJO</t>
        </is>
      </c>
      <c r="G35" s="30" t="inlineStr">
        <is>
          <t>NÚMERO DE CONTROL O DOCUMENTO ERRÓNEO.</t>
        </is>
      </c>
      <c r="H35" s="30">
        <f>IF(G35="","",VLOOKUP(G35,REFERENCIA!$A$1:$B$14,2,0))</f>
        <v/>
      </c>
      <c r="I35" s="22" t="inlineStr">
        <is>
          <t>NUMERO DE CONTROL INCORRECTO</t>
        </is>
      </c>
      <c r="J35" s="21" t="n"/>
      <c r="K35" s="30" t="n"/>
    </row>
    <row r="36">
      <c r="A36" s="22" t="inlineStr">
        <is>
          <t>NAGUANAGUA</t>
        </is>
      </c>
      <c r="B36" s="5" t="inlineStr">
        <is>
          <t>DISTRIBUIDORA PARADIS FRESH, C.A</t>
        </is>
      </c>
      <c r="C36" s="5" t="n">
        <v>23975</v>
      </c>
      <c r="D36" s="7" t="n">
        <v>46133</v>
      </c>
      <c r="E36" s="8" t="inlineStr">
        <is>
          <t>RECEPCION</t>
        </is>
      </c>
      <c r="F36" s="22" t="inlineStr">
        <is>
          <t>PCP JOSE MALUENGA</t>
        </is>
      </c>
      <c r="G36" s="30" t="inlineStr">
        <is>
          <t>DIFERENCIA ENTRE CANTIDAD FISCALIZADA Y DOCUMENTO.</t>
        </is>
      </c>
      <c r="H36" s="30">
        <f>IF(G36="","",VLOOKUP(G36,REFERENCIA!$A$1:$B$14,2,0))</f>
        <v/>
      </c>
      <c r="I36" s="22" t="inlineStr">
        <is>
          <t>FALTANTE DE 4 UND DE ESPINACA DE 200GR, 7264.04</t>
        </is>
      </c>
      <c r="J36" s="20" t="n">
        <v>15.03</v>
      </c>
      <c r="K36" s="30" t="n">
        <v>91458</v>
      </c>
    </row>
    <row r="37">
      <c r="A37" s="22" t="inlineStr">
        <is>
          <t>TUCACAS</t>
        </is>
      </c>
      <c r="B37" s="5" t="inlineStr">
        <is>
          <t>INVERSIONES LAS PATRONAS, C.A</t>
        </is>
      </c>
      <c r="C37" s="5" t="n">
        <v>529</v>
      </c>
      <c r="D37" s="7" t="n">
        <v>46134</v>
      </c>
      <c r="E37" s="8" t="inlineStr">
        <is>
          <t>RECEPCION</t>
        </is>
      </c>
      <c r="F37" s="22" t="inlineStr">
        <is>
          <t>SUB GENESIS COBOS</t>
        </is>
      </c>
      <c r="G37" s="30" t="inlineStr">
        <is>
          <t>DIFERENCIA ENTRE CANTIDAD FISCALIZADA Y DOCUMENTO.</t>
        </is>
      </c>
      <c r="H37" s="30">
        <f>IF(G37="","",VLOOKUP(G37,REFERENCIA!$A$1:$B$14,2,0))</f>
        <v/>
      </c>
      <c r="I37" s="22" t="inlineStr">
        <is>
          <t>FALTANTE 2.6KG DE MANDARINA, 6283.42</t>
        </is>
      </c>
      <c r="J37" s="20" t="n">
        <v>13</v>
      </c>
      <c r="K37" s="30" t="n">
        <v>199055</v>
      </c>
    </row>
    <row r="38">
      <c r="A38" s="22" t="inlineStr">
        <is>
          <t>TUCACAS</t>
        </is>
      </c>
      <c r="B38" s="5" t="inlineStr">
        <is>
          <t>NEOPAPEL, C.A</t>
        </is>
      </c>
      <c r="C38" s="5" t="n">
        <v>804</v>
      </c>
      <c r="D38" s="7" t="n">
        <v>46135</v>
      </c>
      <c r="E38" s="8" t="inlineStr">
        <is>
          <t>RECEPCION</t>
        </is>
      </c>
      <c r="F38" s="22" t="inlineStr">
        <is>
          <t>SUB GENESIS COBOS</t>
        </is>
      </c>
      <c r="G38" s="30" t="inlineStr">
        <is>
          <t>DIFERENCIA ENTRE CANTIDAD FISCALIZADA Y DOCUMENTO.</t>
        </is>
      </c>
      <c r="H38" s="30">
        <f>IF(G38="","",VLOOKUP(G38,REFERENCIA!$A$1:$B$14,2,0))</f>
        <v/>
      </c>
      <c r="I38" s="22" t="inlineStr">
        <is>
          <t>NOTA AL DORSO, 1 UND DE PACK PAW PATROL/SORPRESAS 4301.60</t>
        </is>
      </c>
      <c r="J38" s="20" t="n">
        <v>8.890000000000001</v>
      </c>
      <c r="K38" s="30" t="n">
        <v>199170</v>
      </c>
    </row>
    <row r="39">
      <c r="A39" s="22" t="inlineStr">
        <is>
          <t>BOSQUE</t>
        </is>
      </c>
      <c r="B39" s="5" t="inlineStr">
        <is>
          <t>INVERSIONES LAS PATRONAS, C.A</t>
        </is>
      </c>
      <c r="C39" s="5" t="n">
        <v>773</v>
      </c>
      <c r="D39" s="7" t="n">
        <v>46135</v>
      </c>
      <c r="E39" s="8" t="inlineStr">
        <is>
          <t>RECEPCION</t>
        </is>
      </c>
      <c r="F39" s="22" t="inlineStr">
        <is>
          <t>SUB MARIANGEL GRATEROL</t>
        </is>
      </c>
      <c r="G39" s="30" t="inlineStr">
        <is>
          <t>RECEPCIÓN SIN AUTORIZACIÓN DE CMF.</t>
        </is>
      </c>
      <c r="H39" s="30">
        <f>IF(G39="","",VLOOKUP(G39,REFERENCIA!$A$1:$B$14,2,0))</f>
        <v/>
      </c>
      <c r="I39" s="22" t="inlineStr">
        <is>
          <t>RECEPCION SIN AUTORIZACION DE CMF</t>
        </is>
      </c>
      <c r="J39" s="21" t="n"/>
      <c r="K39" s="30" t="n"/>
    </row>
    <row r="40">
      <c r="A40" s="22" t="inlineStr">
        <is>
          <t>BOSQUE</t>
        </is>
      </c>
      <c r="B40" s="5" t="inlineStr">
        <is>
          <t>INVERSIONES  LAS PATRONAS, C.A</t>
        </is>
      </c>
      <c r="C40" s="5" t="n">
        <v>773</v>
      </c>
      <c r="D40" s="7" t="n">
        <v>46135</v>
      </c>
      <c r="E40" s="8" t="inlineStr">
        <is>
          <t>RECEPCION</t>
        </is>
      </c>
      <c r="F40" s="22" t="inlineStr">
        <is>
          <t>SUB MARIANGEL GRATEROL</t>
        </is>
      </c>
      <c r="G40" s="30" t="inlineStr">
        <is>
          <t>DIFERENCIA ENTRE CANTIDAD FISCALIZADA Y DOCUMENTO.</t>
        </is>
      </c>
      <c r="H40" s="30">
        <f>IF(G40="","",VLOOKUP(G40,REFERENCIA!$A$1:$B$14,2,0))</f>
        <v/>
      </c>
      <c r="I40" s="22" t="inlineStr">
        <is>
          <t>FALTANTE DE 1.5KG DE TOPOCHO VERDE 916.65</t>
        </is>
      </c>
      <c r="J40" s="20" t="n">
        <v>1.89</v>
      </c>
      <c r="K40" s="30" t="n">
        <v>138956</v>
      </c>
    </row>
    <row r="41">
      <c r="A41" s="22" t="inlineStr">
        <is>
          <t>NAGUANAGUA</t>
        </is>
      </c>
      <c r="B41" s="22" t="inlineStr">
        <is>
          <t>INVERSIONES LAS PATRONAS, C.A</t>
        </is>
      </c>
      <c r="C41" s="22" t="n">
        <v>339</v>
      </c>
      <c r="D41" s="7" t="n">
        <v>46135</v>
      </c>
      <c r="E41" s="8" t="inlineStr">
        <is>
          <t>RECEPCION</t>
        </is>
      </c>
      <c r="F41" s="22" t="inlineStr">
        <is>
          <t>SUB REINALDO SILVA</t>
        </is>
      </c>
      <c r="G41" s="30" t="inlineStr">
        <is>
          <t>FISCALIZACIÓN A DESTIEMPO</t>
        </is>
      </c>
      <c r="H41" s="30">
        <f>IF(G41="","",VLOOKUP(G41,REFERENCIA!$A$1:$B$14,2,0))</f>
        <v/>
      </c>
      <c r="I41" s="22" t="inlineStr">
        <is>
          <t>FISCALIZACION A DESTIEMPO</t>
        </is>
      </c>
      <c r="J41" s="21" t="n"/>
      <c r="K41" s="30" t="n"/>
    </row>
    <row r="42">
      <c r="A42" s="22" t="inlineStr">
        <is>
          <t>NAGUANAGUA</t>
        </is>
      </c>
      <c r="B42" s="22" t="inlineStr">
        <is>
          <t>INVERSIONES LAS PATRONAS, C.A</t>
        </is>
      </c>
      <c r="C42" s="22" t="n">
        <v>339</v>
      </c>
      <c r="D42" s="7" t="n">
        <v>46135</v>
      </c>
      <c r="E42" s="8" t="inlineStr">
        <is>
          <t>RECEPCION</t>
        </is>
      </c>
      <c r="F42" s="22" t="inlineStr">
        <is>
          <t>SUB REINALDO SILVA</t>
        </is>
      </c>
      <c r="G42" s="30" t="inlineStr">
        <is>
          <t>DOCUMENTO NO LEGIBLE</t>
        </is>
      </c>
      <c r="H42" s="30">
        <f>IF(G42="","",VLOOKUP(G42,REFERENCIA!$A$1:$B$14,2,0))</f>
        <v/>
      </c>
      <c r="I42" s="22" t="inlineStr">
        <is>
          <t>DOCUMENTO NO LEGIBLE</t>
        </is>
      </c>
      <c r="J42" s="30" t="n"/>
      <c r="K42" s="30" t="n"/>
    </row>
    <row r="43">
      <c r="A43" s="30" t="inlineStr">
        <is>
          <t>BOSQUE</t>
        </is>
      </c>
      <c r="B43" s="30" t="inlineStr">
        <is>
          <t>PRODUCTOS FRESCOS PROFRESCA, C.A</t>
        </is>
      </c>
      <c r="C43" s="30" t="n">
        <v>27822</v>
      </c>
      <c r="D43" s="29" t="n">
        <v>46136</v>
      </c>
      <c r="E43" s="30" t="inlineStr">
        <is>
          <t>RECEPCION</t>
        </is>
      </c>
      <c r="F43" s="30" t="inlineStr">
        <is>
          <t>SUB VIRGILIO ARAUJO</t>
        </is>
      </c>
      <c r="G43" s="30" t="inlineStr">
        <is>
          <t>DIFERENCIA ENTRE CANTIDAD FISCALIZADA Y DOCUMENTO.</t>
        </is>
      </c>
      <c r="H43" s="30">
        <f>IF(G43="","",VLOOKUP(G43,REFERENCIA!$A$1:$B$14,2,0))</f>
        <v/>
      </c>
      <c r="I43" s="30" t="inlineStr">
        <is>
          <t>FALTANTE DE 1UND DE VAINITA 250GR 596.23</t>
        </is>
      </c>
      <c r="J43" s="31" t="n">
        <v>1.23</v>
      </c>
      <c r="K43" s="30" t="n">
        <v>252597</v>
      </c>
    </row>
    <row r="44">
      <c r="A44" s="30" t="inlineStr">
        <is>
          <t>BOSQUE</t>
        </is>
      </c>
      <c r="B44" s="30" t="inlineStr">
        <is>
          <t>INDUSTRIAS ALIMENTICIAS HERMO DE VENEZUELA</t>
        </is>
      </c>
      <c r="C44" s="30" t="n">
        <v>2247070507</v>
      </c>
      <c r="D44" s="29" t="n">
        <v>46136</v>
      </c>
      <c r="E44" s="30" t="inlineStr">
        <is>
          <t>RECEPCION</t>
        </is>
      </c>
      <c r="F44" s="30" t="inlineStr">
        <is>
          <t>SUB VIRGILIO ARAUJO</t>
        </is>
      </c>
      <c r="G44" s="30" t="inlineStr">
        <is>
          <t>DIFERENCIA ENTRE CANTIDAD FISCALIZADA Y DOCUMENTO.</t>
        </is>
      </c>
      <c r="H44" s="30" t="inlineStr">
        <is>
          <t>TIPO D</t>
        </is>
      </c>
      <c r="I44" s="30" t="inlineStr">
        <is>
          <t xml:space="preserve">NO COLOCÓ NOTA AL DORSO, 1 CAJA DE GALLETA SALTIN EXTRALARGO </t>
        </is>
      </c>
      <c r="J44" s="31" t="n">
        <v>57.52</v>
      </c>
      <c r="K44" s="30" t="n">
        <v>63805</v>
      </c>
    </row>
    <row r="45">
      <c r="A45" s="30" t="inlineStr">
        <is>
          <t>NAGUANAGUA</t>
        </is>
      </c>
      <c r="B45" s="30" t="inlineStr">
        <is>
          <t>ADOLFO'S VICAR, C.A</t>
        </is>
      </c>
      <c r="C45" s="30" t="n">
        <v>13503</v>
      </c>
      <c r="D45" s="29" t="n">
        <v>46136</v>
      </c>
      <c r="E45" s="30" t="inlineStr">
        <is>
          <t>RECEPCION</t>
        </is>
      </c>
      <c r="F45" s="30" t="inlineStr">
        <is>
          <t>SUB STEVEN SERVET</t>
        </is>
      </c>
      <c r="G45" s="30" t="inlineStr">
        <is>
          <t>PRODUCTO O SKU NO PERTENECE A LA RECEPCIÓN.</t>
        </is>
      </c>
      <c r="H45" s="30">
        <f>IF(G45="","",VLOOKUP(G45,REFERENCIA!$A$1:$B$14,2,0))</f>
        <v/>
      </c>
      <c r="I45" s="30" t="inlineStr">
        <is>
          <t>ERROR EN SKU INGRESADO</t>
        </is>
      </c>
      <c r="J45" s="30" t="n"/>
      <c r="K45" s="30" t="n"/>
    </row>
    <row r="46">
      <c r="A46" s="30" t="inlineStr">
        <is>
          <t>NAGUANAGUA</t>
        </is>
      </c>
      <c r="B46" s="30" t="inlineStr">
        <is>
          <t>YEFFERSON MORGADO</t>
        </is>
      </c>
      <c r="C46" s="30" t="n">
        <v>125449</v>
      </c>
      <c r="D46" s="29" t="n">
        <v>46136</v>
      </c>
      <c r="E46" s="30" t="inlineStr">
        <is>
          <t>RECEPCION</t>
        </is>
      </c>
      <c r="F46" s="30" t="inlineStr">
        <is>
          <t>LPCP VALERIA LAMEDA</t>
        </is>
      </c>
      <c r="G46" s="30" t="inlineStr">
        <is>
          <t>DIFERENCIA ENTRE CANTIDAD FISCALIZADA Y DOCUMENTO.</t>
        </is>
      </c>
      <c r="H46" s="30" t="inlineStr">
        <is>
          <t>TIPO D</t>
        </is>
      </c>
      <c r="I46" s="30" t="inlineStr">
        <is>
          <t>EXCEDENTE DE 100KG DE PAPAYA</t>
        </is>
      </c>
      <c r="J46" s="32" t="n">
        <v>92</v>
      </c>
      <c r="K46" s="30" t="n"/>
    </row>
    <row r="47">
      <c r="A47" s="30" t="inlineStr">
        <is>
          <t>TUCACAS</t>
        </is>
      </c>
      <c r="B47" s="30" t="inlineStr">
        <is>
          <t>CORPORACION R3, C.A</t>
        </is>
      </c>
      <c r="C47" s="30" t="inlineStr">
        <is>
          <t>4W-119DE863DC</t>
        </is>
      </c>
      <c r="D47" s="29" t="n">
        <v>46140</v>
      </c>
      <c r="E47" s="30" t="inlineStr">
        <is>
          <t>RECEPCION</t>
        </is>
      </c>
      <c r="F47" s="30" t="inlineStr">
        <is>
          <t>SUB CARLOS PARACO</t>
        </is>
      </c>
      <c r="G47" s="30" t="inlineStr">
        <is>
          <t>NÚMERO DE CONTROL O DOCUMENTO ERRÓNEO.</t>
        </is>
      </c>
      <c r="H47" s="30">
        <f>IF(G47="","",VLOOKUP(G47,REFERENCIA!$A$1:$B$14,2,0))</f>
        <v/>
      </c>
      <c r="I47" s="30" t="inlineStr">
        <is>
          <t>NUMERO DE FACTURA INCORRECTA</t>
        </is>
      </c>
      <c r="J47" s="30" t="n"/>
      <c r="K47" s="30" t="n"/>
    </row>
    <row r="48">
      <c r="A48" s="30" t="inlineStr">
        <is>
          <t>NAGUANAGUA</t>
        </is>
      </c>
      <c r="B48" s="30" t="inlineStr">
        <is>
          <t>CERVECERIA POLAR, C.A</t>
        </is>
      </c>
      <c r="C48" s="30" t="n">
        <v>31173</v>
      </c>
      <c r="D48" s="29" t="n">
        <v>46140</v>
      </c>
      <c r="E48" s="30" t="inlineStr">
        <is>
          <t>DEVOLUCION</t>
        </is>
      </c>
      <c r="F48" s="30" t="inlineStr">
        <is>
          <t>PCP CARLOS GONZALES</t>
        </is>
      </c>
      <c r="G48" s="30" t="inlineStr">
        <is>
          <t>PRODUCTO O SKU NO PERTENECE A LA RECEPCIÓN.</t>
        </is>
      </c>
      <c r="H48" s="30" t="inlineStr">
        <is>
          <t>TIPO C</t>
        </is>
      </c>
      <c r="I48" s="30" t="inlineStr">
        <is>
          <t>ERROR EN SKU INGRESADO</t>
        </is>
      </c>
      <c r="J48" s="30" t="n"/>
      <c r="K48" s="30" t="n"/>
    </row>
    <row r="49">
      <c r="A49" s="30" t="inlineStr">
        <is>
          <t>TUCACAS</t>
        </is>
      </c>
      <c r="B49" s="30" t="inlineStr">
        <is>
          <t>CORPORACION R3, C.A</t>
        </is>
      </c>
      <c r="C49" s="30" t="inlineStr">
        <is>
          <t>4W-5D13F8EEFC</t>
        </is>
      </c>
      <c r="D49" s="29" t="n">
        <v>46140</v>
      </c>
      <c r="E49" s="30" t="inlineStr">
        <is>
          <t>RECEPCION</t>
        </is>
      </c>
      <c r="F49" s="30" t="inlineStr">
        <is>
          <t>SUB CARLOS PARACO</t>
        </is>
      </c>
      <c r="G49" s="30" t="inlineStr">
        <is>
          <t>NÚMERO DE CONTROL O DOCUMENTO ERRÓNEO.</t>
        </is>
      </c>
      <c r="H49" s="30">
        <f>IF(G49="","",VLOOKUP(G49,REFERENCIA!$A$1:$B$14,2,0))</f>
        <v/>
      </c>
      <c r="I49" s="30" t="inlineStr">
        <is>
          <t>NUMERO DE FACTURA INCORRECTA</t>
        </is>
      </c>
      <c r="J49" s="30" t="n"/>
      <c r="K49" s="30" t="n"/>
    </row>
    <row r="50">
      <c r="A50" s="30" t="inlineStr">
        <is>
          <t>NAGUANAGUA</t>
        </is>
      </c>
      <c r="B50" s="30" t="inlineStr">
        <is>
          <t>ADOLFO'S VICAR, C.A</t>
        </is>
      </c>
      <c r="C50" s="30" t="n">
        <v>13540</v>
      </c>
      <c r="D50" s="29" t="n">
        <v>46141</v>
      </c>
      <c r="E50" s="30" t="inlineStr">
        <is>
          <t>RECEPCION</t>
        </is>
      </c>
      <c r="F50" s="30" t="inlineStr">
        <is>
          <t>PCP JOSE MALUENGA</t>
        </is>
      </c>
      <c r="G50" s="30" t="inlineStr">
        <is>
          <t>PRODUCTO O SKU DUPLICADO.</t>
        </is>
      </c>
      <c r="H50" s="30">
        <f>IF(G50="","",VLOOKUP(G50,REFERENCIA!$A$1:$B$14,2,0))</f>
        <v/>
      </c>
      <c r="I50" s="30" t="inlineStr">
        <is>
          <t>SKU DUPLICADO</t>
        </is>
      </c>
      <c r="J50" s="30" t="n"/>
      <c r="K50" s="30" t="n"/>
    </row>
    <row r="51">
      <c r="A51" s="30" t="inlineStr">
        <is>
          <t>BOSQUE</t>
        </is>
      </c>
      <c r="B51" s="30" t="inlineStr">
        <is>
          <t>INVERSIONES LAS PATRONAS, C.A</t>
        </is>
      </c>
      <c r="C51" s="30" t="n">
        <v>860</v>
      </c>
      <c r="D51" s="29" t="n">
        <v>46142</v>
      </c>
      <c r="E51" s="30" t="inlineStr">
        <is>
          <t>RECEPCION</t>
        </is>
      </c>
      <c r="F51" s="30" t="inlineStr">
        <is>
          <t>SUB VICTOR SALCEDO</t>
        </is>
      </c>
      <c r="G51" s="30" t="inlineStr">
        <is>
          <t>NÚMERO DE CONTROL O DOCUMENTO ERRÓNEO.</t>
        </is>
      </c>
      <c r="H51" s="30">
        <f>IF(G51="","",VLOOKUP(G51,REFERENCIA!$A$1:$B$14,2,0))</f>
        <v/>
      </c>
      <c r="I51" s="30" t="inlineStr">
        <is>
          <t>NUMERO DE FACTURA INCORRECTA</t>
        </is>
      </c>
      <c r="J51" s="30" t="n"/>
      <c r="K51" s="30" t="n"/>
    </row>
    <row r="52">
      <c r="A52" s="30" t="inlineStr">
        <is>
          <t>NAGUANAGUA</t>
        </is>
      </c>
      <c r="B52" s="30" t="inlineStr">
        <is>
          <t>RUBROS SANARE C2, C.A</t>
        </is>
      </c>
      <c r="C52" s="30" t="n">
        <v>2351</v>
      </c>
      <c r="D52" s="29" t="n">
        <v>46142</v>
      </c>
      <c r="E52" s="30" t="inlineStr">
        <is>
          <t>RECEPCION</t>
        </is>
      </c>
      <c r="F52" s="30" t="inlineStr">
        <is>
          <t>PCP JOSE MALUENGA</t>
        </is>
      </c>
      <c r="G52" s="30" t="inlineStr">
        <is>
          <t>FALTA SELLO, FIRMA O CÉDULA.</t>
        </is>
      </c>
      <c r="H52" s="30">
        <f>IF(G52="","",VLOOKUP(G52,REFERENCIA!$A$1:$B$14,2,0))</f>
        <v/>
      </c>
      <c r="I52" s="30" t="inlineStr">
        <is>
          <t>FALTA CEDULA DEL SPCP</t>
        </is>
      </c>
      <c r="J52" s="30" t="n"/>
      <c r="K52" s="30" t="n"/>
    </row>
    <row r="53">
      <c r="A53" s="30" t="inlineStr">
        <is>
          <t>TUCACAS</t>
        </is>
      </c>
      <c r="B53" s="30" t="inlineStr">
        <is>
          <t>RUBROS SANARE C2, C.A</t>
        </is>
      </c>
      <c r="C53" s="30" t="n">
        <v>2347</v>
      </c>
      <c r="D53" s="29" t="n">
        <v>46142</v>
      </c>
      <c r="E53" s="30" t="inlineStr">
        <is>
          <t>RECEPCION</t>
        </is>
      </c>
      <c r="F53" s="30" t="inlineStr">
        <is>
          <t>SUB GENESIS COBOS</t>
        </is>
      </c>
      <c r="G53" s="30" t="inlineStr">
        <is>
          <t>FALTA SELLO, FIRMA O CÉDULA.</t>
        </is>
      </c>
      <c r="H53" s="30">
        <f>IF(G53="","",VLOOKUP(G53,REFERENCIA!$A$1:$B$14,2,0))</f>
        <v/>
      </c>
      <c r="I53" s="30" t="inlineStr">
        <is>
          <t>FALTA CEDULA DEL SPCP</t>
        </is>
      </c>
      <c r="J53" s="30" t="n"/>
      <c r="K53" s="30" t="n"/>
    </row>
    <row r="54">
      <c r="A54" s="30" t="inlineStr">
        <is>
          <t>NAGUANAGUA</t>
        </is>
      </c>
      <c r="B54" s="30" t="inlineStr">
        <is>
          <t>INVERSIONES VELANDRIA, C.A</t>
        </is>
      </c>
      <c r="C54" s="30" t="n">
        <v>57</v>
      </c>
      <c r="D54" s="29" t="n">
        <v>46142</v>
      </c>
      <c r="E54" s="30" t="inlineStr">
        <is>
          <t>RECEPCION</t>
        </is>
      </c>
      <c r="F54" s="30" t="inlineStr">
        <is>
          <t>SUB JOSE MALUENGA</t>
        </is>
      </c>
      <c r="G54" s="30" t="inlineStr">
        <is>
          <t>DOCUMENTACIÓN ERRÓNEA</t>
        </is>
      </c>
      <c r="H54" s="30">
        <f>IF(G54="","",VLOOKUP(G54,REFERENCIA!$A$1:$B$14,2,0))</f>
        <v/>
      </c>
      <c r="I54" s="30" t="inlineStr">
        <is>
          <t xml:space="preserve">DOCUMENTO NO PERTENECE A RECEPCION </t>
        </is>
      </c>
      <c r="J54" s="30" t="n"/>
      <c r="K54" s="30" t="n"/>
    </row>
    <row r="55">
      <c r="A55" s="30" t="inlineStr">
        <is>
          <t>NAGUANAGUA</t>
        </is>
      </c>
      <c r="B55" s="30" t="inlineStr">
        <is>
          <t>HIDROPONIAS VENEZOLANAS, C.A</t>
        </is>
      </c>
      <c r="C55" s="30" t="n">
        <v>20110664</v>
      </c>
      <c r="D55" s="29" t="n">
        <v>46142</v>
      </c>
      <c r="E55" s="30" t="inlineStr">
        <is>
          <t>RECEPCION</t>
        </is>
      </c>
      <c r="F55" s="30" t="inlineStr">
        <is>
          <t>SUB REINALDO SILVA</t>
        </is>
      </c>
      <c r="G55" s="30" t="inlineStr">
        <is>
          <t>FALTA SELLO, FIRMA O CÉDULA.</t>
        </is>
      </c>
      <c r="H55" s="30">
        <f>IF(G55="","",VLOOKUP(G55,REFERENCIA!$A$1:$B$14,2,0))</f>
        <v/>
      </c>
      <c r="I55" s="30" t="inlineStr">
        <is>
          <t>FALTA CEDULA DEL SPCP</t>
        </is>
      </c>
      <c r="J55" s="30" t="n"/>
      <c r="K55" s="30" t="n"/>
    </row>
    <row r="56">
      <c r="A56" s="30" t="inlineStr">
        <is>
          <t>NAGUANAGUA</t>
        </is>
      </c>
      <c r="B56" s="30" t="inlineStr">
        <is>
          <t>HIDROPONIAS VENEZOLANAS, C.A</t>
        </is>
      </c>
      <c r="C56" s="30" t="n"/>
      <c r="D56" s="30" t="n"/>
      <c r="E56" s="30" t="n"/>
      <c r="F56" s="30" t="n"/>
      <c r="G56" s="30" t="n"/>
      <c r="H56" s="30">
        <f>IF(G56="","",VLOOKUP(G56,REFERENCIA!$A$1:$B$14,2,0))</f>
        <v/>
      </c>
      <c r="I56" s="30" t="n"/>
      <c r="J56" s="30" t="n"/>
      <c r="K56" s="30" t="n"/>
    </row>
    <row r="57">
      <c r="A57" s="30" t="n"/>
      <c r="B57" s="30" t="n"/>
      <c r="C57" s="30" t="n"/>
      <c r="D57" s="30" t="n"/>
      <c r="E57" s="30" t="n"/>
      <c r="F57" s="30" t="n"/>
      <c r="G57" s="30" t="n"/>
      <c r="H57" s="30">
        <f>IF(G57="","",VLOOKUP(G57,REFERENCIA!$A$1:$B$14,2,0))</f>
        <v/>
      </c>
      <c r="I57" s="30" t="n"/>
      <c r="J57" s="30" t="n"/>
      <c r="K57" s="30" t="n"/>
    </row>
    <row r="58">
      <c r="A58" s="30" t="n"/>
      <c r="B58" s="30" t="n"/>
      <c r="C58" s="30" t="n"/>
      <c r="D58" s="30" t="n"/>
      <c r="E58" s="30" t="n"/>
      <c r="F58" s="30" t="n"/>
      <c r="G58" s="30" t="n"/>
      <c r="H58" s="30">
        <f>IF(G58="","",VLOOKUP(G58,REFERENCIA!$A$1:$B$14,2,0))</f>
        <v/>
      </c>
      <c r="I58" s="30" t="n"/>
      <c r="J58" s="30" t="n"/>
      <c r="K58" s="30" t="n"/>
    </row>
    <row r="59">
      <c r="A59" s="30" t="n"/>
      <c r="B59" s="30" t="n"/>
      <c r="C59" s="30" t="n"/>
      <c r="D59" s="30" t="n"/>
      <c r="E59" s="30" t="n"/>
      <c r="F59" s="30" t="n"/>
      <c r="G59" s="30" t="n"/>
      <c r="H59" s="30">
        <f>IF(G59="","",VLOOKUP(G59,REFERENCIA!$A$1:$B$14,2,0))</f>
        <v/>
      </c>
      <c r="I59" s="30" t="n"/>
      <c r="J59" s="30" t="n"/>
      <c r="K59" s="30" t="n"/>
    </row>
    <row r="60">
      <c r="A60" s="30" t="n"/>
      <c r="B60" s="30" t="n"/>
      <c r="C60" s="30" t="n"/>
      <c r="D60" s="30" t="n"/>
      <c r="E60" s="30" t="n"/>
      <c r="F60" s="30" t="n"/>
      <c r="G60" s="30" t="n"/>
      <c r="H60" s="30">
        <f>IF(G60="","",VLOOKUP(G60,REFERENCIA!$A$1:$B$14,2,0))</f>
        <v/>
      </c>
      <c r="I60" s="30" t="n"/>
      <c r="J60" s="30" t="n"/>
      <c r="K60" s="30" t="n"/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  <row r="501">
      <c r="H501">
        <f>IF(G501="","",VLOOKUP(G501,REFERENCIA!$A$1:$B$14,2,0))</f>
        <v/>
      </c>
    </row>
    <row r="502">
      <c r="H502">
        <f>IF(G502="","",VLOOKUP(G502,REFERENCIA!$A$1:$B$14,2,0))</f>
        <v/>
      </c>
    </row>
    <row r="503">
      <c r="H503">
        <f>IF(G503="","",VLOOKUP(G503,REFERENCIA!$A$1:$B$14,2,0))</f>
        <v/>
      </c>
    </row>
  </sheetData>
  <conditionalFormatting sqref="B33:B34">
    <cfRule type="duplicateValues" priority="7" dxfId="0"/>
    <cfRule type="duplicateValues" priority="8" dxfId="0"/>
  </conditionalFormatting>
  <conditionalFormatting sqref="C33:C34">
    <cfRule type="duplicateValues" priority="3" dxfId="0"/>
    <cfRule type="duplicateValues" priority="4" dxfId="0"/>
  </conditionalFormatting>
  <dataValidations count="1">
    <dataValidation sqref="B17:C17 B33:C42 C12 C23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.6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074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2026-05-15T20:46:34Z</dcterms:modified>
  <cp:lastModifiedBy>Admin</cp:lastModifiedBy>
</cp:coreProperties>
</file>