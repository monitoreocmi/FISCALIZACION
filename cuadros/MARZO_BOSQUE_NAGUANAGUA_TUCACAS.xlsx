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quipo\Documents\REDOBLE\CUADRO DE INCIDENCIAS\"/>
    </mc:Choice>
  </mc:AlternateContent>
  <xr:revisionPtr revIDLastSave="0" documentId="13_ncr:1_{EC410516-CC11-4553-9C4A-57AD899F1C91}" xr6:coauthVersionLast="47" xr6:coauthVersionMax="47" xr10:uidLastSave="{00000000-0000-0000-0000-000000000000}"/>
  <bookViews>
    <workbookView xWindow="3750" yWindow="0" windowWidth="24135" windowHeight="15585" xr2:uid="{00000000-000D-0000-FFFF-FFFF00000000}"/>
  </bookViews>
  <sheets>
    <sheet name="Sheet1" sheetId="1" r:id="rId1"/>
    <sheet name="REFERENCIA" sheetId="2" state="hidden" r:id="rId2"/>
  </sheets>
  <calcPr calcId="191029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<sst xmlns="http://schemas.openxmlformats.org/spreadsheetml/2006/main" count="359" uniqueCount="100">
  <si>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</si>
  <si>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</si>
  <si>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</si>
  <si>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</si>
  <si>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</si>
  <si>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</si>
  <si>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</si>
  <si>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</si>
  <si>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</si>
  <si>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</si>
  <si>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</si>
  <si>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</si>
  <si>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</si>
  <si>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</si>
  <si>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</si>
  <si>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</si>
  <si>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</si>
  <si>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</si>
  <si>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</si>
  <si>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</si>
  <si>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</si>
  <si>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</si>
  <si>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</si>
  <si>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</si>
  <si>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</si>
  <si>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</si>
  <si>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</si>
  <si>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</si>
  <si>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</si>
  <si>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EL BOSQUE</t>
  </si>
  <si>
    <t>ADOLFO'S VICAR, C.A</t>
  </si>
  <si>
    <t>RECEPCION</t>
  </si>
  <si>
    <t>SUB VIRGILIO ARAUJO</t>
  </si>
  <si>
    <t>TUCACAS</t>
  </si>
  <si>
    <t>AGROPECUARIA PUNTA LARGA, C.A</t>
  </si>
  <si>
    <t>GERENTE JUAN MEZA</t>
  </si>
  <si>
    <t>NAGUANAGUA</t>
  </si>
  <si>
    <t>SUPLIDORA EL VIGIA</t>
  </si>
  <si>
    <t>PCP JOSE MALUENGA</t>
  </si>
  <si>
    <t>CAV A LUXOR, C.A</t>
  </si>
  <si>
    <t>DEVOLUCION</t>
  </si>
  <si>
    <t>PCP MIGBER LOZANO</t>
  </si>
  <si>
    <t>RUBROS SANARE, C.A</t>
  </si>
  <si>
    <t>INVERSIONES GREFERSON, C.A</t>
  </si>
  <si>
    <t>INVERSIONES VELANDRIA, C.A</t>
  </si>
  <si>
    <t>SUB MARIANGEL GRATEROL</t>
  </si>
  <si>
    <t>PRODUCTOS FRESCOS PROFRESCA, C.A</t>
  </si>
  <si>
    <t>CAVA LUXOR, C.A</t>
  </si>
  <si>
    <t>SUB SUGGEY CASTRO</t>
  </si>
  <si>
    <t>INVERSIONES LAS PATRONAS  2024, C.A</t>
  </si>
  <si>
    <t>SUB GENESIS COBOS</t>
  </si>
  <si>
    <t>13095</t>
  </si>
  <si>
    <t>LA CARIDAD, C.A</t>
  </si>
  <si>
    <t>39263</t>
  </si>
  <si>
    <t>GERENTE ROBERT NUÑEZ</t>
  </si>
  <si>
    <t>207</t>
  </si>
  <si>
    <t>PRODUCTOS Y DERIVADOS VIGUS, C.A</t>
  </si>
  <si>
    <t>AGROPECUARIA ORO BLANCO,M C.A</t>
  </si>
  <si>
    <t>YEFFERSON MORGADO</t>
  </si>
  <si>
    <t>SUB ENRIQUE BALZA</t>
  </si>
  <si>
    <t>INVERSIONES LAS PATRONAS 2024, C.A</t>
  </si>
  <si>
    <t>SUB CARLOS PARACO</t>
  </si>
  <si>
    <t>AGROPECUARIA  LATIN FRUITS, C.A</t>
  </si>
  <si>
    <t>SUB DANIEL CORDERO</t>
  </si>
  <si>
    <t>LPCP VALERIA LAMEDA</t>
  </si>
  <si>
    <t>SUB REINALDO SILVA</t>
  </si>
  <si>
    <t>INVERSIONES AGROPECUARIA JEANDAVID, C.A</t>
  </si>
  <si>
    <t>PCP ANDRES ARCILA</t>
  </si>
  <si>
    <t>LUNA DISTRIBUCIONES MASIVA, C.A</t>
  </si>
  <si>
    <t>INVERSIONES LAS PATRONAS, C.A</t>
  </si>
  <si>
    <t>SUB VALERIA LAMEDA</t>
  </si>
  <si>
    <t>PROCESADORA DE VEGETALES Y FRUTAS PROVEFRU, C.A</t>
  </si>
  <si>
    <t>PRODUCTOS ALIMEX, C.A</t>
  </si>
  <si>
    <t>ALIMENTOS HEINZ, C.A</t>
  </si>
  <si>
    <t>SUB VIRGILIO ARAUJO, RECIBIDOR ELIO RICO</t>
  </si>
  <si>
    <t>ERROR EN TARA DE ESPARRAGOS, 2.3KG</t>
  </si>
  <si>
    <t xml:space="preserve">ERROR EN TARA DE CAMBUR,  1.4KG </t>
  </si>
  <si>
    <t>ERROR EN TARA DE PLATANO,  2.5KG</t>
  </si>
  <si>
    <t xml:space="preserve">FISCALIZACION A DESTIEMPO </t>
  </si>
  <si>
    <t>FALTA SELLO</t>
  </si>
  <si>
    <t>PRODUCTO/SKU DUPLICADO</t>
  </si>
  <si>
    <t>ERROR EN TARA, 2.6KG DE AJI DULCE</t>
  </si>
  <si>
    <t xml:space="preserve">ERROR EN TARA, 4.5KG DE POLLO FRESCO </t>
  </si>
  <si>
    <t>ERROR EN TARA, 20.8KG AUYAMA</t>
  </si>
  <si>
    <t>NO FISCALIZÓ UNO O MÁS PRODUCTOS, RUDA  2.1KG</t>
  </si>
  <si>
    <t>RECEPCION SIN AUTORIZACION DE CMF</t>
  </si>
  <si>
    <t>ERROR EN NUMERO DE CONTROL</t>
  </si>
  <si>
    <t>DOCUMENTACION ERRONEA</t>
  </si>
  <si>
    <t>NO FISCALIZÓ UNO O MÁS PRODUCTOS,  82.6KG DE PAPAYA</t>
  </si>
  <si>
    <t xml:space="preserve">FACTURA ELIMINADA DE APP </t>
  </si>
  <si>
    <t>NUMERO DE CONTROL INCORRECTO</t>
  </si>
  <si>
    <t>NO FISCALIZÓ UN PESAJE DE POLLO FRESCO, 314.4KG</t>
  </si>
  <si>
    <t>ERROR EN TARA DE GUAYABA, 2.6KG</t>
  </si>
  <si>
    <t>FALTANTE DE 1KG DE CAMBUR</t>
  </si>
  <si>
    <t>DOCUMENTO ERRONEO</t>
  </si>
  <si>
    <t>NO FISCALIZÓ  UNO O MAS PRODUCTOS, 58.8KG DE PATILLA</t>
  </si>
  <si>
    <t>ERROR EN TARA DE VAINITA, 900GR</t>
  </si>
  <si>
    <t>NO FISCALIZÓ REPOLLO MORADO 20KG</t>
  </si>
  <si>
    <t>FALTANTE DE 13KG DE PEPIINO</t>
  </si>
  <si>
    <t xml:space="preserve">NO FISCALIZÓ  134.7KG DE PLATANO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</si>
</sst>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 Rounded MT Bold"/>
      <family val="2"/>
    </font>
    <font>
      <sz val="10"/>
      <color theme="1"/>
      <name val="Calibri"/>
      <family val="2"/>
    </font>
    <font>
      <sz val="10"/>
      <color theme="1"/>
      <name val="Arial Rounded MT Bold"/>
      <family val="2"/>
    </font>
    <font>
      <sz val="11"/>
      <color theme="1"/>
      <name val="Calibri"/>
      <family val="2"/>
    </font>
    <font>
      <sz val="11"/>
      <color rgb="FF1A202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4618AB7-B995-4767-AE0E-69D71D4EDBB9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672D82E-8F56-4723-B928-6AC3428EFE23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0D99CC3-5DF6-48F4-BCD3-FCE9CF323F90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083CCEA-08B0-4B33-9E69-79A550FAD6AA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43676BF-74A3-4111-9F89-656BC2995111}"/>
            </a:ext>
          </a:extLst>
        </xdr:cNvPr>
        <xdr:cNvSpPr txBox="1"/>
      </xdr:nvSpPr>
      <xdr:spPr>
        <a:xfrm>
          <a:off x="1766726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B83A7A7-069C-42B4-97A0-CAD0C95C6264}"/>
            </a:ext>
          </a:extLst>
        </xdr:cNvPr>
        <xdr:cNvSpPr txBox="1"/>
      </xdr:nvSpPr>
      <xdr:spPr>
        <a:xfrm>
          <a:off x="1766726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DC993C7-865C-41F0-9125-3F3E77E14620}"/>
            </a:ext>
          </a:extLst>
        </xdr:cNvPr>
        <xdr:cNvSpPr txBox="1"/>
      </xdr:nvSpPr>
      <xdr:spPr>
        <a:xfrm>
          <a:off x="1766726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6F13037-A0C4-4EF3-9504-F781BB596989}"/>
            </a:ext>
          </a:extLst>
        </xdr:cNvPr>
        <xdr:cNvSpPr txBox="1"/>
      </xdr:nvSpPr>
      <xdr:spPr>
        <a:xfrm>
          <a:off x="1766726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E28223C-F789-4516-B942-3B4FB889EFFC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B7D59A4-9818-42EB-AA96-42EC3E78BEF4}"/>
            </a:ext>
          </a:extLst>
        </xdr:cNvPr>
        <xdr:cNvSpPr txBox="1"/>
      </xdr:nvSpPr>
      <xdr:spPr>
        <a:xfrm>
          <a:off x="1766726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755EC3E-2537-43EC-A4D7-9EEB4E941CE0}"/>
            </a:ext>
          </a:extLst>
        </xdr:cNvPr>
        <xdr:cNvSpPr txBox="1"/>
      </xdr:nvSpPr>
      <xdr:spPr>
        <a:xfrm>
          <a:off x="1766726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AAFCC13-2A31-4D6D-8D1B-CABFBEDC174A}"/>
            </a:ext>
          </a:extLst>
        </xdr:cNvPr>
        <xdr:cNvSpPr txBox="1"/>
      </xdr:nvSpPr>
      <xdr:spPr>
        <a:xfrm>
          <a:off x="1766726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BAE20ADA-53D9-4031-92BB-3E005086649A}"/>
            </a:ext>
          </a:extLst>
        </xdr:cNvPr>
        <xdr:cNvSpPr txBox="1"/>
      </xdr:nvSpPr>
      <xdr:spPr>
        <a:xfrm>
          <a:off x="1766726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EE66D599-2426-42D2-89FB-895815C05F63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E472F97-7A7F-416D-9243-329842145D11}"/>
            </a:ext>
          </a:extLst>
        </xdr:cNvPr>
        <xdr:cNvSpPr txBox="1"/>
      </xdr:nvSpPr>
      <xdr:spPr>
        <a:xfrm>
          <a:off x="1766726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9E0A860A-DBAE-43C9-830A-F488D1C082FE}"/>
            </a:ext>
          </a:extLst>
        </xdr:cNvPr>
        <xdr:cNvSpPr txBox="1"/>
      </xdr:nvSpPr>
      <xdr:spPr>
        <a:xfrm>
          <a:off x="1766726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F3F31A5-405A-464C-A4DC-A65BC8180F34}"/>
            </a:ext>
          </a:extLst>
        </xdr:cNvPr>
        <xdr:cNvSpPr txBox="1"/>
      </xdr:nvSpPr>
      <xdr:spPr>
        <a:xfrm>
          <a:off x="1766726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A3DEA0B-1024-45F4-857E-02E6C55CC1F1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EA16702-3FAE-4EF6-A423-B7ADD7038489}"/>
            </a:ext>
          </a:extLst>
        </xdr:cNvPr>
        <xdr:cNvSpPr txBox="1"/>
      </xdr:nvSpPr>
      <xdr:spPr>
        <a:xfrm>
          <a:off x="1766726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2240FE1E-2771-4E23-9800-6B6C5235D2F0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A035C23-5B07-4F43-B971-11C823430DB2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B94D235-8925-4E3D-945D-61BE39FFFFDD}"/>
            </a:ext>
          </a:extLst>
        </xdr:cNvPr>
        <xdr:cNvSpPr txBox="1"/>
      </xdr:nvSpPr>
      <xdr:spPr>
        <a:xfrm>
          <a:off x="1766726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879AA0E-A555-467A-BA26-4F74EFB05363}"/>
            </a:ext>
          </a:extLst>
        </xdr:cNvPr>
        <xdr:cNvSpPr txBox="1"/>
      </xdr:nvSpPr>
      <xdr:spPr>
        <a:xfrm>
          <a:off x="1766726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B3DE8CC-654F-4031-9611-275CC4EEB4C9}"/>
            </a:ext>
          </a:extLst>
        </xdr:cNvPr>
        <xdr:cNvSpPr txBox="1"/>
      </xdr:nvSpPr>
      <xdr:spPr>
        <a:xfrm>
          <a:off x="1766726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22BBAC1-E1BD-4A39-A297-1712535EA192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E93AAA2-3366-4751-8719-AF84ACF39F14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D0A384E6-D803-46B4-B22D-79119B13D1E9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14B5399E-B45F-4C30-95A4-2BF7C4B2E610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21A9E2D0-A5EB-47F2-B07A-7322B33A8D8B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5D2766DF-DCEA-48DC-8071-C67604A45694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736CFBFB-2071-4804-AF05-29A320FA293E}"/>
            </a:ext>
          </a:extLst>
        </xdr:cNvPr>
        <xdr:cNvSpPr txBox="1"/>
      </xdr:nvSpPr>
      <xdr:spPr>
        <a:xfrm>
          <a:off x="1766726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F0733664-DC6A-412D-83AB-00CD679CC56B}"/>
            </a:ext>
          </a:extLst>
        </xdr:cNvPr>
        <xdr:cNvSpPr txBox="1"/>
      </xdr:nvSpPr>
      <xdr:spPr>
        <a:xfrm>
          <a:off x="1766726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54BA6E33-9403-45E1-8C00-5D9B9C4A5315}"/>
            </a:ext>
          </a:extLst>
        </xdr:cNvPr>
        <xdr:cNvSpPr txBox="1"/>
      </xdr:nvSpPr>
      <xdr:spPr>
        <a:xfrm>
          <a:off x="1766726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6D2E115A-9129-48D3-823D-C87C3C28D6D6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87D36822-720B-4641-B2BE-9D50EC6A7A33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9F9AF08-4A4E-467E-898C-EEBCFD3C4DE2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7FF812F-9AB1-493C-8E2A-6264C243E8C0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2D4DB2C7-A6AB-49CC-BFA4-0A44C51760EC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D7E0920A-F9BB-4EA9-9AB0-903A1E6D638D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F103C44D-EE94-4DC7-8F8A-70E1CB990AF8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4DF32ACC-411D-4B05-ADE7-B4E5B3A43474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118B6B-00FF-41B2-92BE-60AC55053A0E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AC040F4-0963-48E3-8832-A2873103AECF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DD66EA4B-7E7F-46E0-BA52-84FB9649233B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89C709F9-8644-4063-8F44-4FE07AF10EAE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32893E85-59DF-4AB6-BF99-4CCD323C47AC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C2F1C706-50A8-4179-B6B6-20F52D1E02F9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4103B807-3B3F-4ECD-B213-55618F3D6625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62E13CA6-01C8-44FC-84FA-D0C5DEF18626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AE61406-C76B-48E5-87DE-3615A181EA3A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899BE464-6C0F-40B7-AAC8-C95E96705405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D942834B-CFEB-4C7E-AC0B-787C6A49F2B7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70F7BEA3-EDF8-4CAA-98F4-D5AA95031316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CFE3DD7F-AEF1-4D05-81C1-61ED07E993FB}"/>
            </a:ext>
          </a:extLst>
        </xdr:cNvPr>
        <xdr:cNvSpPr txBox="1"/>
      </xdr:nvSpPr>
      <xdr:spPr>
        <a:xfrm>
          <a:off x="1766726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74D0F1DF-379B-40C7-8BA2-60B9E207C194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3BD341E3-3C31-4723-885B-4A83451D45FB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DF4DB992-A90F-4257-A07D-2F264FF1BC80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54EB36AE-A20F-4F67-818A-FFD52EC9A3C8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C618F330-E934-47A8-95FA-88BE95E43703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A448B0CD-D5BA-4C43-8B0B-37BBBCC6E5C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792BD66F-ECC1-401E-B889-2DC305C1944F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EBC92BDD-85C1-4DD3-A190-FFEAA06CBB3B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48896ADB-D8C2-4CC1-8653-0AF18444FEB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14661372-7FEF-4903-8AFB-54FFD2157639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FAD4587-9FD4-48B8-9099-F258AFBEBB78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42081A8E-0179-4ADE-AD6D-6C107D7587C3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81FDB900-3AEB-42E0-A198-6D911CE99A0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DBE2DDD7-A716-4D39-832D-495F0AB9EB95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CF46BE80-D230-4427-9B4C-0664CA084C9D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FD7C02F4-25E0-415E-9910-5311EBB72B65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30E37741-0A9F-414F-8E53-ADB2ABB0D83F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CFA43F92-2999-44E7-A7AA-57FF9D4B247A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B182BDB6-5D6A-4292-9981-2C71DE0EFE52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7B4BA33C-1647-4793-8AB6-6AC4E4C07616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46D2700C-D06F-466B-9F8B-B7633CA3024C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C4B1FFD0-A009-4C15-881B-9157F34E7E29}"/>
            </a:ext>
          </a:extLst>
        </xdr:cNvPr>
        <xdr:cNvSpPr txBox="1"/>
      </xdr:nvSpPr>
      <xdr:spPr>
        <a:xfrm>
          <a:off x="1766726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166D9BD1-2066-433F-A885-56411D481D2D}"/>
            </a:ext>
          </a:extLst>
        </xdr:cNvPr>
        <xdr:cNvSpPr txBox="1"/>
      </xdr:nvSpPr>
      <xdr:spPr>
        <a:xfrm>
          <a:off x="1766726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7DE2D3ED-C747-48EA-B24C-838D7F4ADE0A}"/>
            </a:ext>
          </a:extLst>
        </xdr:cNvPr>
        <xdr:cNvSpPr txBox="1"/>
      </xdr:nvSpPr>
      <xdr:spPr>
        <a:xfrm>
          <a:off x="1766726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1A22AFF2-D023-4741-8C8D-BD2A8FB917D7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CD2836A1-3E89-404C-90C9-C751B28F9D7D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6B75F46D-3717-4665-956A-2248A49940C6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A0C2DE47-D832-4134-901E-7AC95604F5FC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8961B02-51FE-46B0-82EA-1E801D8E574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7A51BC2A-BC8A-4F65-A2FA-EB5CB2EE9E2D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028FBD5C-3DF2-49B2-BF37-EA01464E6F25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F00903F6-CB80-4858-A943-9FDC11B23A31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4452CC38-8E80-4CBF-8D83-88038B0B7F9A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EA8E9865-D955-43B6-96C3-5B171034F477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761A8036-9669-4058-BDEE-24049AF481AC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61DB3D4B-A922-40FA-AC04-312E319BC751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F7409BF9-15C3-4FE3-8584-E0CC68866871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6A587BB7-2F5D-4A90-A147-F12B20A9A2C0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9C4D6410-7F9D-49BF-A52E-5E53E9F1CD90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409F4C1F-55DC-419A-A45E-654AD067859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D063BA10-DFE6-4227-89BB-6C906FC7D0F3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6DBEC507-6F53-415C-9F19-09C406D18C7C}"/>
            </a:ext>
          </a:extLst>
        </xdr:cNvPr>
        <xdr:cNvSpPr txBox="1"/>
      </xdr:nvSpPr>
      <xdr:spPr>
        <a:xfrm>
          <a:off x="1766726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9064DFD7-B5B0-4042-AADC-E5FFB7178E8F}"/>
            </a:ext>
          </a:extLst>
        </xdr:cNvPr>
        <xdr:cNvSpPr txBox="1"/>
      </xdr:nvSpPr>
      <xdr:spPr>
        <a:xfrm>
          <a:off x="1766726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9B2D8E15-80B6-41A1-9081-7264BBC31DC9}"/>
            </a:ext>
          </a:extLst>
        </xdr:cNvPr>
        <xdr:cNvSpPr txBox="1"/>
      </xdr:nvSpPr>
      <xdr:spPr>
        <a:xfrm>
          <a:off x="1766726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FFDEAD34-528D-46C5-95DD-09E79B79F44B}"/>
            </a:ext>
          </a:extLst>
        </xdr:cNvPr>
        <xdr:cNvSpPr txBox="1"/>
      </xdr:nvSpPr>
      <xdr:spPr>
        <a:xfrm>
          <a:off x="1766726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681C8A23-2CF9-4186-B832-F119AB6FDCC9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E3D84C91-A0C0-468B-A8F2-2E90840E8D7E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A539E94C-277B-4CB5-A277-4DF614233079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99A9A236-2897-43D3-80A5-AA608B9FCAD1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3F88889C-BA9F-46F5-864D-7A66118D7588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8C0556F6-1DD7-4D0B-8958-EE8BE2918CD3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E2AD44B0-529D-42CA-B588-03A2E1A19CC0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1F3CB6E9-FF78-48EB-A438-3E3A8F305B2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E68C5845-FC4A-40D1-BAD2-F6531CDE6F0E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0E5AD318-3B42-46C4-A382-D0FDCBC3C764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32CB0B31-F0E1-46D1-BD03-4CDD9C7A3094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D6343A54-EA40-4E3D-BA87-C0ECA70EC12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C15C4441-1741-4DC3-817D-3AB0A3922CC4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341BAA30-90F3-41CD-9162-77ECAAFD4F00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11B0E079-6A97-4153-A9CD-41B5435BD367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8125F5BF-83FB-4E80-A003-689C8040C361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D767D06D-D1B9-47D2-B6A9-5FED51B1E7E2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683C5A04-AFE9-4166-AA0A-AB6BA6CAD0FE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39E34213-2234-4206-9BB6-A50832163316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4E5987A5-D2FF-4FBE-B984-B61590C8573B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36F7AAA6-DBE7-479B-A78F-7A3B0D829EB6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C473BDC0-DBB2-4B99-B604-12AA080CB702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EAFB4974-93F0-4866-B58F-C4E4432C22B0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5D93DCA2-B1EC-4160-A59A-43A8098A876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FEFDFA1D-19AB-4829-AE72-41109B8BC2B1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2839370D-C226-4EC6-9A02-A76CE6382B0A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823E7393-3BCC-45B0-9AA7-26C540EC1E1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7FBA10AC-D36E-420C-B066-E54BF5F64E26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28D4A10F-1E04-483A-AE49-453FF3463C9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C9D863F5-3118-40F0-8C43-2E717AF8030A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EC97B68E-7E15-4CEA-B57D-820F8FDB36F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24963897-5BD4-4927-8F8D-4EB0A57F62C2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96A42F99-488B-475A-A80B-18DF55FCA646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9582C3B5-5A28-4F0B-841B-AC342EE87B8C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7A21BEA2-1A23-492A-A260-5ECCD07D19B2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E2E9CAA2-F14A-4A3A-9B09-731C11CB28BB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BE0437C0-75AF-4D0C-B71E-FFDC9E6846BB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2F6AD3C8-44D8-43F6-9030-E0FC85A55011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33F7B779-7C9B-433E-948C-24476AC426A2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9EDF49B9-6652-4CC8-A635-7FC6063042BE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17352316-C6DB-4A30-8EEE-D85BB977BB7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ACE4B351-868F-4194-BDB5-AC6207BD845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4DB6B2C5-3D1F-463B-BFE6-57B5CBED9106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1AFE4E58-DC9A-4C69-B457-7642E5116A9E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102648DD-B9EA-4F62-8EA3-1E92079E953C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F497FF39-C3FE-4971-A821-7CF2D74C0327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1CDB36C3-68BF-4D4C-B4D2-352E1F1B50D8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9AA71F7E-C362-45FF-B898-AEF8D287273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CF346308-7C3E-4BB0-9AF9-DEE32A71F94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4FE6B66E-7029-40DA-BE65-C34D1007A23F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01273924-2F2F-49A2-AEE4-F6FDFF67D66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EE80BB03-00A9-4121-B87C-86DA49D98BB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EE47B5C6-BEA2-40AE-B16B-E5AE678BB2C7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16F0D192-EE83-4231-ABC1-207A9D8C98A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ABD63AEB-F897-4CA5-9B3E-6A7F8802AE00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9A5A5523-D663-4011-A44B-C41FEA2086F8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37D5278A-6DF2-4CC7-ADDC-A602C6F1DAE0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F018931E-FB08-4F02-B40B-5AAF09FF49D7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E71A6096-E488-4245-8857-D59C01713465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D3534EE4-EC4F-4073-8956-286E1B820369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4D2B015F-C3D2-438C-BB36-2FC58962035B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517C8F27-D80F-4CBC-950B-CAC312811F9F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0FC73892-A550-455B-8353-7D2DADF4F222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205EA73A-3219-49F8-9EF2-D8C535B0318E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525044E7-8DFE-47E0-B798-66BFBD8627A8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880B4026-D838-4850-868A-659B7FC7CA8E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C3D7E102-C330-44F6-A19E-B65A1BA548E6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4165CD5E-D8A6-4E4E-8FDF-6D5745989D5F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D31D73C1-11E7-4AD9-BD63-E2FAE39DE8AF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6233E7CB-78DC-4F2C-A460-A5CA0DBC6B97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185A160E-6667-4514-82C0-FAED319E8880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718253E5-08B4-4116-B5EC-72C7F20E6B7D}"/>
            </a:ext>
          </a:extLst>
        </xdr:cNvPr>
        <xdr:cNvSpPr txBox="1"/>
      </xdr:nvSpPr>
      <xdr:spPr>
        <a:xfrm>
          <a:off x="1766726" y="685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B0B95966-CDB5-4F1F-BCE4-A802A52113FD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30980034-5CA6-4644-982C-7B5CE7B7E8F3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3E8DA108-BDEA-4751-873F-4FF0177EC6FF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C61D038A-87F1-4EE5-9910-CFA5FB3266ED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1EB9865D-B283-406B-97C7-14D19E2F5AB6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B21CEC3B-13C0-4FAA-9F85-263AB2B46E66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7CEF370F-CBF3-4425-BA7B-9342C19BA0CC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D6A88734-B8F4-41D5-9043-823BBB451E69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7EF2CD1C-206D-411A-ADCD-F7E4B24F6FFD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687D09CF-5960-4EC0-878E-6CF43F9102F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E2D5BABA-3AB2-49B5-B78B-BFC5C8C817DD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F396F0A7-1DDE-45B0-BE67-2559F5761FE2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8BD0ACAA-FD89-41F3-B024-A7831217B81F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5626C0AD-17EB-4ED9-8D42-05550F1B41B5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E45A52C6-1EA9-4F41-B419-64DCDAE62A3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46E878E6-40DB-46BE-BC5C-DB4AA71039A6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1C35D492-5DD4-4A05-8575-9E31B018F850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4E2C00ED-3010-46C5-BB07-8D19D968A8EB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5515530F-678A-4F5E-B730-109F475FAAD9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CEB1E708-5F2D-42AA-8D07-84D7D7DACCA6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F6287DD4-F2B1-4628-A6D1-AD2E82580B32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DFD460F1-0796-4500-93BD-D5261887125B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9D44514F-6101-493C-86D4-D3B273F67FEB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FF0213B2-6D4C-49B8-8D7A-FF7A25F3C9F8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1E178EA0-5D79-4944-8D8C-128373BE4130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11208343-F5E0-4163-A2EB-8A3DDC54CEB1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54A7A169-06C2-4401-B4EE-77D7CD11CAC5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EFC152D2-2D81-4FCC-B945-0D363CC6EB1A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263A15DE-6C81-49E4-A1B6-EA35B0A71378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CC002CC4-3873-4092-835D-76761057F4DD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99E40385-BDCA-47E5-A5EC-EC566D2433BB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123E8530-5107-4A79-A986-116BF67E3EAA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33A97B46-3C27-47A1-ADFF-8A055325B2E9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4F0D9BC4-8C62-4B99-BA55-E2C70F3A9277}"/>
            </a:ext>
          </a:extLst>
        </xdr:cNvPr>
        <xdr:cNvSpPr txBox="1"/>
      </xdr:nvSpPr>
      <xdr:spPr>
        <a:xfrm>
          <a:off x="1766726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30772A58-E216-4BDC-B1B2-BF0C8C0CCB1B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793DA767-47D2-4A69-96F5-52F940931AAA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114FF824-357A-4615-8BB7-CEEC3EF87E48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0E26B386-3E55-4865-9E81-2904C2F4BA68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F6782D49-9766-40DB-A224-C261AD84DAC8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DF4B5D54-2929-45D2-843F-1B9732EA513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E5B9C0DE-EDBA-4933-A6F2-7D2717442E89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AFF8C512-AC38-42D0-9FCD-F714109B701C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179B9B0E-AD8D-4CF6-9EFF-F958F92C278A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0CF2257C-1361-4E66-B25D-3F2124BBD972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2D5FF58C-17C1-474A-93C8-4ADE67DC3385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A8200E61-26B3-426F-BF1E-8CDDD2C13A0E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20FA63DE-C17C-4FC8-9FA6-254484AD946C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31F120F3-10E2-4EB8-916A-65686201E78F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2223EC4C-B531-44A5-9674-BA16C599EE98}"/>
            </a:ext>
          </a:extLst>
        </xdr:cNvPr>
        <xdr:cNvSpPr txBox="1"/>
      </xdr:nvSpPr>
      <xdr:spPr>
        <a:xfrm>
          <a:off x="1766726" y="59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A3651DB3-3E7C-4586-B514-86263CA3B3CC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52F8059D-7FA9-4D5F-A6DE-A216D89F755F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373D1781-8B9D-4368-B889-5AE8A74F588B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90D482CE-AB81-46CD-894B-B7996E372794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D5BD00D7-D6AD-4729-BE0C-9596B53EE840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9C1F6B49-5989-40DF-A688-541DBDB09651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94A6F74F-DFD7-4F92-ACDD-5B249486AF20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C94D06B2-778E-4473-8D98-CF735ABD3B75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9EDCBEE1-9947-40B5-8B1C-2E60FDAD62FB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F10773D1-F1D9-42E1-8ED3-42F180BFA5B1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C0530833-4C20-49AC-81B7-E680ACEBEAFC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B39CCB5A-1E5A-49FC-817A-10245B8E0FBC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AB949D37-F60B-4427-A4DE-C5E3E2EC8013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8EC9DEC3-138B-4367-B6EF-54D922F63306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9111293F-981A-46B4-B1E3-C3ABFA2EFD10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2AE9DBC4-EF98-4558-8B1E-1EA12DCF8F43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9A7B3061-16D4-41EF-9B3F-824FC2810DA8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0A1EE852-32B2-4648-AB5A-60B9C55C8F2D}"/>
            </a:ext>
          </a:extLst>
        </xdr:cNvPr>
        <xdr:cNvSpPr txBox="1"/>
      </xdr:nvSpPr>
      <xdr:spPr>
        <a:xfrm>
          <a:off x="1766726" y="1143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D0584364-710F-480F-B785-545ECF6FB465}"/>
            </a:ext>
          </a:extLst>
        </xdr:cNvPr>
        <xdr:cNvSpPr txBox="1"/>
      </xdr:nvSpPr>
      <xdr:spPr>
        <a:xfrm>
          <a:off x="1766726" y="1143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1437816C-B18B-4002-87D7-A5B1E84BE631}"/>
            </a:ext>
          </a:extLst>
        </xdr:cNvPr>
        <xdr:cNvSpPr txBox="1"/>
      </xdr:nvSpPr>
      <xdr:spPr>
        <a:xfrm>
          <a:off x="1766726" y="1143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8888137E-98CE-4F7D-8163-B7C2A61BFD58}"/>
            </a:ext>
          </a:extLst>
        </xdr:cNvPr>
        <xdr:cNvSpPr txBox="1"/>
      </xdr:nvSpPr>
      <xdr:spPr>
        <a:xfrm>
          <a:off x="1766726" y="1143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B32EEA5C-7B8A-4340-B1A5-5DA21C3764B6}"/>
            </a:ext>
          </a:extLst>
        </xdr:cNvPr>
        <xdr:cNvSpPr txBox="1"/>
      </xdr:nvSpPr>
      <xdr:spPr>
        <a:xfrm>
          <a:off x="1766726" y="1143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BE4A3AE3-B635-490E-A1B4-0EF3DB451C57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235A5108-5321-41AE-B308-B747116E0201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0EFF6C37-B0F7-4792-BF70-06DA183D2AC1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B5176FE4-CA86-4CA0-AF3F-6CCCC61F979B}"/>
            </a:ext>
          </a:extLst>
        </xdr:cNvPr>
        <xdr:cNvSpPr txBox="1"/>
      </xdr:nvSpPr>
      <xdr:spPr>
        <a:xfrm>
          <a:off x="1766726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DE4AF8E5-284B-4437-9BD1-9EC53AA4C4AC}"/>
            </a:ext>
          </a:extLst>
        </xdr:cNvPr>
        <xdr:cNvSpPr txBox="1"/>
      </xdr:nvSpPr>
      <xdr:spPr>
        <a:xfrm>
          <a:off x="1766726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0DAE48CC-9B7F-4B42-BE6B-DEC3A930AA27}"/>
            </a:ext>
          </a:extLst>
        </xdr:cNvPr>
        <xdr:cNvSpPr txBox="1"/>
      </xdr:nvSpPr>
      <xdr:spPr>
        <a:xfrm>
          <a:off x="1766726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83E70BA4-B7BD-46FF-9151-D680A176A6A8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322F2939-94E0-4C79-AD9E-6A68C9C28275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0A13AE68-60BD-4B1A-B172-29925EE50FCD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CA616748-6F32-4F84-802D-6E0F370DFF99}"/>
            </a:ext>
          </a:extLst>
        </xdr:cNvPr>
        <xdr:cNvSpPr txBox="1"/>
      </xdr:nvSpPr>
      <xdr:spPr>
        <a:xfrm>
          <a:off x="1766726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id="{3677B5C1-6A8F-4758-9D5B-119D8961215E}"/>
            </a:ext>
          </a:extLst>
        </xdr:cNvPr>
        <xdr:cNvSpPr txBox="1"/>
      </xdr:nvSpPr>
      <xdr:spPr>
        <a:xfrm>
          <a:off x="1766726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3D16A325-D85C-4117-898E-6FE163C0A664}"/>
            </a:ext>
          </a:extLst>
        </xdr:cNvPr>
        <xdr:cNvSpPr txBox="1"/>
      </xdr:nvSpPr>
      <xdr:spPr>
        <a:xfrm>
          <a:off x="1766726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id="{7C8FED4D-13F2-4436-9212-8B3DBCCF5433}"/>
            </a:ext>
          </a:extLst>
        </xdr:cNvPr>
        <xdr:cNvSpPr txBox="1"/>
      </xdr:nvSpPr>
      <xdr:spPr>
        <a:xfrm>
          <a:off x="1766726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id="{2B805275-8254-4B8D-85CA-94E556924F48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CD94F527-477B-44CB-9655-72F657FDF42E}"/>
            </a:ext>
          </a:extLst>
        </xdr:cNvPr>
        <xdr:cNvSpPr txBox="1"/>
      </xdr:nvSpPr>
      <xdr:spPr>
        <a:xfrm>
          <a:off x="1766726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CFAC09A6-9B7B-4CDF-AA0D-8ACDF209B157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id="{B4560FDE-FA1D-49A5-9C32-C4313E4D6166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id="{BE0523C5-9722-464B-9C5A-8D32BBCC0CB9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id="{FEBCB8B7-50C3-48BC-8D46-BFCBFA32E09E}"/>
            </a:ext>
          </a:extLst>
        </xdr:cNvPr>
        <xdr:cNvSpPr txBox="1"/>
      </xdr:nvSpPr>
      <xdr:spPr>
        <a:xfrm>
          <a:off x="1766726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59A512E8-1DDE-460F-84CF-65DC4A9DB973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7629CE10-E693-4D81-BE33-0686450BCA75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1CF66A91-92C6-4426-8424-7E517F6F9558}"/>
            </a:ext>
          </a:extLst>
        </xdr:cNvPr>
        <xdr:cNvSpPr txBox="1"/>
      </xdr:nvSpPr>
      <xdr:spPr>
        <a:xfrm>
          <a:off x="1766726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75080AEF-A09F-468E-B2A3-892D38CA6AF4}"/>
            </a:ext>
          </a:extLst>
        </xdr:cNvPr>
        <xdr:cNvSpPr txBox="1"/>
      </xdr:nvSpPr>
      <xdr:spPr>
        <a:xfrm>
          <a:off x="1766726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5BBD343F-3FC7-4037-9FCE-1F34375EFFBE}"/>
            </a:ext>
          </a:extLst>
        </xdr:cNvPr>
        <xdr:cNvSpPr txBox="1"/>
      </xdr:nvSpPr>
      <xdr:spPr>
        <a:xfrm>
          <a:off x="1766726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094A4265-CD78-4E4B-B880-3D3F7CA4AA2B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7F7CDDB6-6009-4B9A-A0E7-A1D9BF0B3A8A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6272856C-6A48-4AA3-A0BB-C1230AD79539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423CFA73-D1DD-49A5-9CBE-025FE4696B0D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BA54DC42-E3C3-447D-A667-A244BD33CB0A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6C00409E-C083-4909-8228-B6503208F3C7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704B9418-321F-4CC4-9418-134EEB9572B0}"/>
            </a:ext>
          </a:extLst>
        </xdr:cNvPr>
        <xdr:cNvSpPr txBox="1"/>
      </xdr:nvSpPr>
      <xdr:spPr>
        <a:xfrm>
          <a:off x="1766726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18E315B0-0BE5-40D2-87E6-1629ED8FA790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B6E4EDB7-6647-4271-9CA0-BE11670CA415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139FC1C1-26A9-4639-820A-608BD33F24F8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id="{F1D32A80-3DE4-4ED5-9447-BD66868811CA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1FD96C58-7D97-44D3-8E10-78167092C345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06D63ECC-D156-40B5-8311-E349846BB6FD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1C66CAFE-985A-433B-959E-4B374C0C0567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E6DF38E5-FA62-4F29-9824-08B7C1D9956F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C105459A-FCC0-4AF5-85EB-DAFFAF057239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04A5FB3D-89C6-431A-B0B9-A873A4AE93DB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A9A32451-57D0-47A6-826F-4B60DE6579B9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01E90B4D-6818-42F8-B76C-4E1D250607AE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658F0423-8E0C-41C4-836E-F9D155D33B7A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C1E4BEC3-C8B5-43E0-9801-37E8A3088858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:a16="http://schemas.microsoft.com/office/drawing/2014/main" id="{A86B66BD-A9AA-4021-9ACD-0120FBD10355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:a16="http://schemas.microsoft.com/office/drawing/2014/main" id="{465AEA40-D53F-4B0B-BE71-AA04167A1D60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id="{24FBC36C-0F68-449A-B4BD-0A437B126C4B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id="{E2A2AE60-5096-456C-B43F-FB99A138CC10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246379C3-4A28-4016-A3F3-B3195AEF23EE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id="{F636541E-33B6-4E5B-BCDB-4C0EA96D59A8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id="{77FC78F7-0C8C-4D04-A5E4-6921436C4E2A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id="{548CAECD-1CDD-4B2B-968F-CAC098465AB5}"/>
            </a:ext>
          </a:extLst>
        </xdr:cNvPr>
        <xdr:cNvSpPr txBox="1"/>
      </xdr:nvSpPr>
      <xdr:spPr>
        <a:xfrm>
          <a:off x="176672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id="{02365497-EB43-450F-BBB2-0084EB239657}"/>
            </a:ext>
          </a:extLst>
        </xdr:cNvPr>
        <xdr:cNvSpPr txBox="1"/>
      </xdr:nvSpPr>
      <xdr:spPr>
        <a:xfrm>
          <a:off x="1766726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id="{48F41B5E-3121-402B-BC39-EB30E4CD841E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id="{DCAC1103-0E43-4128-8C21-499A0F828A10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1F9A29EB-D509-4779-99DC-72E3C2DE6B44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FBE7C63C-55F4-43A4-8880-57DEDDA1608F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6A504B59-B9D6-425B-AA3C-1B30656A4650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1B307103-ADC8-4603-BCFF-5F65903C2421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55CD41FC-3919-4E2D-932A-02F849FD2CCA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6C358C26-FBEB-425B-9593-9B05AE90D226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84008264-EEB2-4411-BE99-6AD11E5C4550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E90701E2-5F8B-47FA-B85A-8CD8741CFADB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A77C670C-2357-463B-971C-2CE22FAFF797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F5FF9238-7DD7-481E-AEFE-56DDC59CF45A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7628B45D-3910-4BCA-ADAE-4B6D4711DBD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id="{36D51C09-62F4-48E0-80CE-1EDED6D04420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id="{0B916863-2C46-4FDC-A917-86CFBF400127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id="{A6620A13-2897-4FAD-A569-BE29E373507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id="{DBF84357-9C99-43CD-9652-341B95438444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id="{8D6EA975-776D-4EA5-BE71-FF02CC98061D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28BB0CB0-3802-4511-B849-6C7DE9084B02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47F9E240-B014-4A05-B54B-DD26D7D68D6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3FB7911D-35E6-439F-A2B9-E29D10EB19F6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CC04B0C5-1C61-47FD-9C99-5AC0D5C87E59}"/>
            </a:ext>
          </a:extLst>
        </xdr:cNvPr>
        <xdr:cNvSpPr txBox="1"/>
      </xdr:nvSpPr>
      <xdr:spPr>
        <a:xfrm>
          <a:off x="1766726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BD9BCBB5-2A5B-4D10-90AF-208B12277428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D07CA68D-D78B-49B6-B8B4-AB555847DB4F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id="{546E59BA-954A-459D-A86D-01BD35734BE8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8D74DFC1-E9D6-4F09-A6CF-E9AD45FB2505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694478FC-D361-446B-AE03-3B6233D88EC7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D5449833-328D-4160-B216-946F2D3F9C57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F0BF70F3-8FAD-4171-AC98-83ED2362EA9D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3E0DA1BB-6C03-4D11-91CD-6F20DD877C35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id="{036EA413-4A92-446D-B200-1D3D6A43995B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A811C143-7FAA-4DDA-9BDE-4CBA250E978C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0DC9E9C6-51E5-4562-BD8C-2902503BF9E4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A3CFE917-F872-45F3-A111-87122CE6682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D8FCF508-4735-48E9-B311-D37B22F28747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4BD50A2E-5697-4DB9-BBEA-0492711C9018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837BDBF9-70D4-4EE9-A68E-58C0CAE6C417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91250BB2-ECC8-4975-918E-E519F7DB74BC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440B9BE0-98BA-40BE-B41C-1E7A8ABDC2D0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3CD960CC-82BA-4CEA-B0E7-8B4E6AEF09F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2ED6CB48-03AB-49EA-A163-37B75ED63C3A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15EF089A-2F77-424D-8F9C-B70AD27D459F}"/>
            </a:ext>
          </a:extLst>
        </xdr:cNvPr>
        <xdr:cNvSpPr txBox="1"/>
      </xdr:nvSpPr>
      <xdr:spPr>
        <a:xfrm>
          <a:off x="1766726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B1A514D3-93D3-40F1-A63E-AEB6814DEC83}"/>
            </a:ext>
          </a:extLst>
        </xdr:cNvPr>
        <xdr:cNvSpPr txBox="1"/>
      </xdr:nvSpPr>
      <xdr:spPr>
        <a:xfrm>
          <a:off x="1766726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AF330F3F-AA84-4B86-B7B4-27547E753577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8A5D34C7-E5E5-4A40-9067-16D01CD57589}"/>
            </a:ext>
          </a:extLst>
        </xdr:cNvPr>
        <xdr:cNvSpPr txBox="1"/>
      </xdr:nvSpPr>
      <xdr:spPr>
        <a:xfrm>
          <a:off x="1766726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0909E255-C6BB-42CC-92E5-F75B270EDA9D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7563F3FF-1D93-4241-9517-6018F2A80445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E4D80746-FF81-4725-8261-2E9553E341E8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FCF8C0D3-FF19-490F-A6CB-D88A3DB9212C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483E5B8E-1C58-42BB-8D5B-90DE82A03F47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id="{B030E7E5-32B4-4371-A7C5-0BEF97C3070D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0CF8646F-4519-443E-BDA5-FA44701D5D7E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E369DE62-E6DB-4CD5-A6A4-3C7A0EAC3C33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FEACDF0E-C270-4AD2-A5F8-E7A2679C754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2241D8E4-7F58-467C-A813-8235A0FA820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A6C166A1-41C8-47C9-9A32-5948DA0A0A9C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id="{D5F100A7-5033-4451-8BE2-5BDE6D881F84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9E2F788C-6C9C-4DAC-8C1F-7AA3C6281D78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A1D90C37-6CD0-42B2-9344-F090A35852D3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30FA6E46-3FFD-44AB-BC9F-AA412541CBF1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F8AFB4F6-BBC6-4EEF-9069-DAD1419A2BE5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55D2A65D-4EAA-42CE-A2EA-7C914BD092F3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59800947-E9F1-4636-BE6D-D6BF26ADD46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A6E5376B-592E-4888-B85A-6774E32939BC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82F890F4-D784-4E06-B487-7C0D2D21E07B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5D26B64A-01AD-4BFD-A4C6-24350D1E5293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F243221B-AB07-492B-A375-6AFC16D58859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D4438B8A-C2DF-4FC7-8559-E84EB0354096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7F3509D2-E051-49A1-83FB-25433CCDAA8C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D170027F-0F5C-4EB3-BB1E-521C5679C374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7DA8BBD6-5CD9-4B81-9A14-C6E5FFD130B3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53C664E1-2717-408B-A86C-2D0893ECF91C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id="{794B00F7-9350-4BC4-8902-21FD54827C0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BED0CE83-2150-4898-9C51-9F9D84B3950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C1133809-DF4B-41EE-9113-04C39FD25BC8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id="{FF8FE5C1-CF6A-4394-AC08-5EE48083683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60D60CA7-4822-4F3F-B256-F2BDC07FB242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87653643-3CC1-45C9-B1FF-7A105800BA53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5D236D12-D2D7-4A1C-B8B6-0890CA417AE6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3419E133-CF0F-4B9A-930D-C830573ACFBA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237DF038-956C-46E6-A48A-85ED1F7889FF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760E2AB9-1EF8-41AE-951E-11BCF5E5E2D5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id="{0FC17CB3-5336-418B-85A5-1128A7925578}"/>
            </a:ext>
          </a:extLst>
        </xdr:cNvPr>
        <xdr:cNvSpPr txBox="1"/>
      </xdr:nvSpPr>
      <xdr:spPr>
        <a:xfrm>
          <a:off x="1766726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290BD485-1991-41A9-A6A1-70A84D4E9DCC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id="{2B7E8917-E83C-4EDF-B40A-F373680C4B14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EB14E04C-1C10-4B27-8D7A-326C2DCF157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A76AD7C1-B4FE-4F74-B25D-58A84258080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E0E9CF53-3016-4F96-9B53-2524F7EA32E7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97D960C5-195E-4094-8C6D-39FCE4AB0BC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E94F9CB1-7D7D-493C-95AD-DB46BE9F681A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42D64B28-6D43-4B0F-825F-171A8D5CAC2D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id="{1C20478F-92CC-4886-A3C9-6B85357E2E1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id="{39D0B2FA-4205-48A5-9E88-B850D06F36A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B2408BAF-3E98-482C-AA88-CD6F55ED1250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05737482-659D-451A-800C-3C9C4766FB6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id="{622DAD2A-D3C7-4F93-8A46-CD6800A72AC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A9533797-8613-40D8-8626-E7DF482FACED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id="{A493003B-BFA3-4DFC-84C6-00E6115C9C7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id="{1A4C7C54-3C83-40DA-A254-BD03254F05F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id="{905E5DC5-E8A6-4134-B216-B6400164E6B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id="{971273A4-2D06-4F17-8C4D-073E16458820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id="{B26164B2-0E18-4E63-9AF3-2D9A387E8737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0" name="CuadroTexto 399">
          <a:extLst>
            <a:ext uri="{FF2B5EF4-FFF2-40B4-BE49-F238E27FC236}">
              <a16:creationId xmlns:a16="http://schemas.microsoft.com/office/drawing/2014/main" id="{626A0193-1843-4DCC-8608-D205F99AED56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1" name="CuadroTexto 400">
          <a:extLst>
            <a:ext uri="{FF2B5EF4-FFF2-40B4-BE49-F238E27FC236}">
              <a16:creationId xmlns:a16="http://schemas.microsoft.com/office/drawing/2014/main" id="{7BA19D27-833B-41B7-A1AD-CC062CB8A466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2" name="CuadroTexto 401">
          <a:extLst>
            <a:ext uri="{FF2B5EF4-FFF2-40B4-BE49-F238E27FC236}">
              <a16:creationId xmlns:a16="http://schemas.microsoft.com/office/drawing/2014/main" id="{ED0033C0-AB86-40E5-B2A4-B383B65FBF33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C3D25EDA-1925-46B3-8066-4B50D73683A1}"/>
            </a:ext>
          </a:extLst>
        </xdr:cNvPr>
        <xdr:cNvSpPr txBox="1"/>
      </xdr:nvSpPr>
      <xdr:spPr>
        <a:xfrm>
          <a:off x="1766726" y="1143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F8F4AC48-77C7-4D8C-9DA5-C68ACE139281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DA4E96BC-A975-4EAC-BD98-6430FE313FF2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0F90FD20-D581-4E65-9A36-0B59AF675C08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AA0D9FC6-4F6D-4AE0-AE94-79C0B4EA8861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AFB89DD9-A98C-4F9F-982D-012FEC6B0B2B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F05F831C-201D-46BC-89E0-CE487EEED4EA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5A9E8A6D-3E4C-47A7-B852-A129BF4C9EE8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FBE09F61-E37E-4918-AB53-836918697C06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FC2E53DB-2DEF-450F-A8DB-3684FE4856B4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6D27C1EB-ACF5-49D1-9439-DA8EEEA1AD3F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2B452D0F-4361-4099-97DB-49F7760389C3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4C55A6F3-CCE8-4B10-B462-4635C38CAB27}"/>
            </a:ext>
          </a:extLst>
        </xdr:cNvPr>
        <xdr:cNvSpPr txBox="1"/>
      </xdr:nvSpPr>
      <xdr:spPr>
        <a:xfrm>
          <a:off x="1766726" y="64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91241B1D-517E-403C-AAFA-BF8A8547DDD2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8708D8B0-C621-4CA2-B571-2F6A87B1C900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18" name="CuadroTexto 417">
          <a:extLst>
            <a:ext uri="{FF2B5EF4-FFF2-40B4-BE49-F238E27FC236}">
              <a16:creationId xmlns:a16="http://schemas.microsoft.com/office/drawing/2014/main" id="{3C461FEC-FBB3-425A-BD32-04B2F5F2475C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19" name="CuadroTexto 418">
          <a:extLst>
            <a:ext uri="{FF2B5EF4-FFF2-40B4-BE49-F238E27FC236}">
              <a16:creationId xmlns:a16="http://schemas.microsoft.com/office/drawing/2014/main" id="{1C9F6756-2D75-4E0C-BFD3-6FDAADBD1CCF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EE2E9B90-66C3-4A38-B7F1-C7DA2CCBF167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21" name="CuadroTexto 420">
          <a:extLst>
            <a:ext uri="{FF2B5EF4-FFF2-40B4-BE49-F238E27FC236}">
              <a16:creationId xmlns:a16="http://schemas.microsoft.com/office/drawing/2014/main" id="{F878F024-007E-455D-82A3-F8820EC32618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22" name="CuadroTexto 421">
          <a:extLst>
            <a:ext uri="{FF2B5EF4-FFF2-40B4-BE49-F238E27FC236}">
              <a16:creationId xmlns:a16="http://schemas.microsoft.com/office/drawing/2014/main" id="{22449513-F30D-47FD-BFB9-41B745343DD3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23" name="CuadroTexto 422">
          <a:extLst>
            <a:ext uri="{FF2B5EF4-FFF2-40B4-BE49-F238E27FC236}">
              <a16:creationId xmlns:a16="http://schemas.microsoft.com/office/drawing/2014/main" id="{DBEFBD5D-F067-4965-9569-7B56A1E05314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24" name="CuadroTexto 423">
          <a:extLst>
            <a:ext uri="{FF2B5EF4-FFF2-40B4-BE49-F238E27FC236}">
              <a16:creationId xmlns:a16="http://schemas.microsoft.com/office/drawing/2014/main" id="{617542A8-F820-4032-9A0B-85AF256D5535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E3E53DC6-36AD-49FE-9008-D51CC8F3B8F6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709C89BC-E9C1-4690-A49E-D5E5E67FC98D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27" name="CuadroTexto 426">
          <a:extLst>
            <a:ext uri="{FF2B5EF4-FFF2-40B4-BE49-F238E27FC236}">
              <a16:creationId xmlns:a16="http://schemas.microsoft.com/office/drawing/2014/main" id="{E3866687-4090-457A-9B00-A46BC35F5EC8}"/>
            </a:ext>
          </a:extLst>
        </xdr:cNvPr>
        <xdr:cNvSpPr txBox="1"/>
      </xdr:nvSpPr>
      <xdr:spPr>
        <a:xfrm>
          <a:off x="1766726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BBE2C8B1-B23F-4CD4-BD6D-597EBD250453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29" name="CuadroTexto 428">
          <a:extLst>
            <a:ext uri="{FF2B5EF4-FFF2-40B4-BE49-F238E27FC236}">
              <a16:creationId xmlns:a16="http://schemas.microsoft.com/office/drawing/2014/main" id="{93AA5C79-BD42-471A-8B7E-1185A4C19A78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30" name="CuadroTexto 429">
          <a:extLst>
            <a:ext uri="{FF2B5EF4-FFF2-40B4-BE49-F238E27FC236}">
              <a16:creationId xmlns:a16="http://schemas.microsoft.com/office/drawing/2014/main" id="{0D4E1139-59EB-4287-8C90-62B436C044F1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31" name="CuadroTexto 430">
          <a:extLst>
            <a:ext uri="{FF2B5EF4-FFF2-40B4-BE49-F238E27FC236}">
              <a16:creationId xmlns:a16="http://schemas.microsoft.com/office/drawing/2014/main" id="{EAA6412C-9263-4355-B50B-9F4DD4DB708A}"/>
            </a:ext>
          </a:extLst>
        </xdr:cNvPr>
        <xdr:cNvSpPr txBox="1"/>
      </xdr:nvSpPr>
      <xdr:spPr>
        <a:xfrm>
          <a:off x="1766726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2" name="CuadroTexto 431">
          <a:extLst>
            <a:ext uri="{FF2B5EF4-FFF2-40B4-BE49-F238E27FC236}">
              <a16:creationId xmlns:a16="http://schemas.microsoft.com/office/drawing/2014/main" id="{24994F0F-3414-4801-A108-E12E5C6857B0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3" name="CuadroTexto 432">
          <a:extLst>
            <a:ext uri="{FF2B5EF4-FFF2-40B4-BE49-F238E27FC236}">
              <a16:creationId xmlns:a16="http://schemas.microsoft.com/office/drawing/2014/main" id="{5165610D-3724-452C-97EC-E4026485E891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4" name="CuadroTexto 433">
          <a:extLst>
            <a:ext uri="{FF2B5EF4-FFF2-40B4-BE49-F238E27FC236}">
              <a16:creationId xmlns:a16="http://schemas.microsoft.com/office/drawing/2014/main" id="{2EF998C5-D383-4412-8641-F8160C90CE6A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5" name="CuadroTexto 434">
          <a:extLst>
            <a:ext uri="{FF2B5EF4-FFF2-40B4-BE49-F238E27FC236}">
              <a16:creationId xmlns:a16="http://schemas.microsoft.com/office/drawing/2014/main" id="{2FBD127A-6C2E-4537-B90C-D0F10340A0FA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6" name="CuadroTexto 435">
          <a:extLst>
            <a:ext uri="{FF2B5EF4-FFF2-40B4-BE49-F238E27FC236}">
              <a16:creationId xmlns:a16="http://schemas.microsoft.com/office/drawing/2014/main" id="{B546E375-AA87-4401-A33B-A8E9BC29C61E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7" name="CuadroTexto 436">
          <a:extLst>
            <a:ext uri="{FF2B5EF4-FFF2-40B4-BE49-F238E27FC236}">
              <a16:creationId xmlns:a16="http://schemas.microsoft.com/office/drawing/2014/main" id="{1DB65AC2-E6EA-426D-8E73-BDB5AF8DF8A6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8" name="CuadroTexto 437">
          <a:extLst>
            <a:ext uri="{FF2B5EF4-FFF2-40B4-BE49-F238E27FC236}">
              <a16:creationId xmlns:a16="http://schemas.microsoft.com/office/drawing/2014/main" id="{F294759D-ED4F-4BD4-A3ED-85B529169A91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39" name="CuadroTexto 438">
          <a:extLst>
            <a:ext uri="{FF2B5EF4-FFF2-40B4-BE49-F238E27FC236}">
              <a16:creationId xmlns:a16="http://schemas.microsoft.com/office/drawing/2014/main" id="{F1EE534D-254B-4FAD-AE5B-A021BD72F298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0" name="CuadroTexto 439">
          <a:extLst>
            <a:ext uri="{FF2B5EF4-FFF2-40B4-BE49-F238E27FC236}">
              <a16:creationId xmlns:a16="http://schemas.microsoft.com/office/drawing/2014/main" id="{02AAE2F9-1645-4207-9829-0EE797B6F56C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1" name="CuadroTexto 440">
          <a:extLst>
            <a:ext uri="{FF2B5EF4-FFF2-40B4-BE49-F238E27FC236}">
              <a16:creationId xmlns:a16="http://schemas.microsoft.com/office/drawing/2014/main" id="{E74163FC-0E8C-4D7E-BA96-FC2E5230BA27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2" name="CuadroTexto 441">
          <a:extLst>
            <a:ext uri="{FF2B5EF4-FFF2-40B4-BE49-F238E27FC236}">
              <a16:creationId xmlns:a16="http://schemas.microsoft.com/office/drawing/2014/main" id="{AA5ED8CB-4F1D-4850-8AE6-37A59867A681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3" name="CuadroTexto 442">
          <a:extLst>
            <a:ext uri="{FF2B5EF4-FFF2-40B4-BE49-F238E27FC236}">
              <a16:creationId xmlns:a16="http://schemas.microsoft.com/office/drawing/2014/main" id="{07A4A1C0-491A-4211-BA5C-DD5A5AFA6BA6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4" name="CuadroTexto 443">
          <a:extLst>
            <a:ext uri="{FF2B5EF4-FFF2-40B4-BE49-F238E27FC236}">
              <a16:creationId xmlns:a16="http://schemas.microsoft.com/office/drawing/2014/main" id="{74A2AF97-27B2-46F7-97A9-AB96E1F4A6F4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5" name="CuadroTexto 444">
          <a:extLst>
            <a:ext uri="{FF2B5EF4-FFF2-40B4-BE49-F238E27FC236}">
              <a16:creationId xmlns:a16="http://schemas.microsoft.com/office/drawing/2014/main" id="{C3759E31-F6DF-46F0-9DBF-929EBC3C361E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6" name="CuadroTexto 445">
          <a:extLst>
            <a:ext uri="{FF2B5EF4-FFF2-40B4-BE49-F238E27FC236}">
              <a16:creationId xmlns:a16="http://schemas.microsoft.com/office/drawing/2014/main" id="{4540BA31-DEC5-4D2D-BF29-6F255030823B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7" name="CuadroTexto 446">
          <a:extLst>
            <a:ext uri="{FF2B5EF4-FFF2-40B4-BE49-F238E27FC236}">
              <a16:creationId xmlns:a16="http://schemas.microsoft.com/office/drawing/2014/main" id="{D9983B4F-745D-4CF1-BDB2-CED6328624B5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8" name="CuadroTexto 447">
          <a:extLst>
            <a:ext uri="{FF2B5EF4-FFF2-40B4-BE49-F238E27FC236}">
              <a16:creationId xmlns:a16="http://schemas.microsoft.com/office/drawing/2014/main" id="{B96B4A7D-BA2A-47C1-B8C5-E794021F9C38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49" name="CuadroTexto 448">
          <a:extLst>
            <a:ext uri="{FF2B5EF4-FFF2-40B4-BE49-F238E27FC236}">
              <a16:creationId xmlns:a16="http://schemas.microsoft.com/office/drawing/2014/main" id="{BF828F7B-56E3-4170-86B2-2C45CEE8C2CC}"/>
            </a:ext>
          </a:extLst>
        </xdr:cNvPr>
        <xdr:cNvSpPr txBox="1"/>
      </xdr:nvSpPr>
      <xdr:spPr>
        <a:xfrm>
          <a:off x="1766726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65D6592A-96D8-4AAF-AC26-B152E8806B3B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1" name="CuadroTexto 450">
          <a:extLst>
            <a:ext uri="{FF2B5EF4-FFF2-40B4-BE49-F238E27FC236}">
              <a16:creationId xmlns:a16="http://schemas.microsoft.com/office/drawing/2014/main" id="{FF323C64-9A5E-4994-87AA-8A833427B4C0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2" name="CuadroTexto 451">
          <a:extLst>
            <a:ext uri="{FF2B5EF4-FFF2-40B4-BE49-F238E27FC236}">
              <a16:creationId xmlns:a16="http://schemas.microsoft.com/office/drawing/2014/main" id="{EBC17FB1-1E88-4C28-BD9D-8314497A6384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3" name="CuadroTexto 452">
          <a:extLst>
            <a:ext uri="{FF2B5EF4-FFF2-40B4-BE49-F238E27FC236}">
              <a16:creationId xmlns:a16="http://schemas.microsoft.com/office/drawing/2014/main" id="{A8C6D31B-AA4B-4BF9-8DE3-0386F74030DE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4" name="CuadroTexto 453">
          <a:extLst>
            <a:ext uri="{FF2B5EF4-FFF2-40B4-BE49-F238E27FC236}">
              <a16:creationId xmlns:a16="http://schemas.microsoft.com/office/drawing/2014/main" id="{5E38BD40-6C71-4134-BC93-5885631E0214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5" name="CuadroTexto 454">
          <a:extLst>
            <a:ext uri="{FF2B5EF4-FFF2-40B4-BE49-F238E27FC236}">
              <a16:creationId xmlns:a16="http://schemas.microsoft.com/office/drawing/2014/main" id="{4EA23F11-BB81-459C-8A94-BB5B62134928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6" name="CuadroTexto 455">
          <a:extLst>
            <a:ext uri="{FF2B5EF4-FFF2-40B4-BE49-F238E27FC236}">
              <a16:creationId xmlns:a16="http://schemas.microsoft.com/office/drawing/2014/main" id="{7C473D65-6628-40A2-B362-502C9804B8E0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7" name="CuadroTexto 456">
          <a:extLst>
            <a:ext uri="{FF2B5EF4-FFF2-40B4-BE49-F238E27FC236}">
              <a16:creationId xmlns:a16="http://schemas.microsoft.com/office/drawing/2014/main" id="{B9B1FC1D-4810-4F45-8484-D04E49760F52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456942E9-7D3C-43AF-B4AD-4C5246A35178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59" name="CuadroTexto 458">
          <a:extLst>
            <a:ext uri="{FF2B5EF4-FFF2-40B4-BE49-F238E27FC236}">
              <a16:creationId xmlns:a16="http://schemas.microsoft.com/office/drawing/2014/main" id="{E325B680-09E5-4156-8087-35BAD989CED5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0" name="CuadroTexto 459">
          <a:extLst>
            <a:ext uri="{FF2B5EF4-FFF2-40B4-BE49-F238E27FC236}">
              <a16:creationId xmlns:a16="http://schemas.microsoft.com/office/drawing/2014/main" id="{AB23CFBE-01D6-4BBE-AE9C-88C6B428AFFF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1" name="CuadroTexto 460">
          <a:extLst>
            <a:ext uri="{FF2B5EF4-FFF2-40B4-BE49-F238E27FC236}">
              <a16:creationId xmlns:a16="http://schemas.microsoft.com/office/drawing/2014/main" id="{C3930E11-4C2E-4DEC-A202-B02AB8E73363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" name="CuadroTexto 461">
          <a:extLst>
            <a:ext uri="{FF2B5EF4-FFF2-40B4-BE49-F238E27FC236}">
              <a16:creationId xmlns:a16="http://schemas.microsoft.com/office/drawing/2014/main" id="{B10B1122-128B-4AAA-BDA7-D24E694CE9D6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" name="CuadroTexto 462">
          <a:extLst>
            <a:ext uri="{FF2B5EF4-FFF2-40B4-BE49-F238E27FC236}">
              <a16:creationId xmlns:a16="http://schemas.microsoft.com/office/drawing/2014/main" id="{707ABB91-DB3F-44E5-A264-8F6F1FBC12E9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" name="CuadroTexto 463">
          <a:extLst>
            <a:ext uri="{FF2B5EF4-FFF2-40B4-BE49-F238E27FC236}">
              <a16:creationId xmlns:a16="http://schemas.microsoft.com/office/drawing/2014/main" id="{4B4004D1-BDC1-44C3-8F56-EA8170D574B1}"/>
            </a:ext>
          </a:extLst>
        </xdr:cNvPr>
        <xdr:cNvSpPr txBox="1"/>
      </xdr:nvSpPr>
      <xdr:spPr>
        <a:xfrm>
          <a:off x="1766726" y="533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5" name="CuadroTexto 464">
          <a:extLst>
            <a:ext uri="{FF2B5EF4-FFF2-40B4-BE49-F238E27FC236}">
              <a16:creationId xmlns:a16="http://schemas.microsoft.com/office/drawing/2014/main" id="{E4761764-2E1C-4FA5-B16A-E5C230BDCEDF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6" name="CuadroTexto 465">
          <a:extLst>
            <a:ext uri="{FF2B5EF4-FFF2-40B4-BE49-F238E27FC236}">
              <a16:creationId xmlns:a16="http://schemas.microsoft.com/office/drawing/2014/main" id="{AE6A1E81-400D-4B79-B7A2-384FAE39DFA1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67" name="CuadroTexto 466">
          <a:extLst>
            <a:ext uri="{FF2B5EF4-FFF2-40B4-BE49-F238E27FC236}">
              <a16:creationId xmlns:a16="http://schemas.microsoft.com/office/drawing/2014/main" id="{08F36765-14D8-47C8-AB5F-08685B50D3B9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68" name="CuadroTexto 467">
          <a:extLst>
            <a:ext uri="{FF2B5EF4-FFF2-40B4-BE49-F238E27FC236}">
              <a16:creationId xmlns:a16="http://schemas.microsoft.com/office/drawing/2014/main" id="{1879441D-2C95-4C71-A025-B28FE28E0D2C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9" name="CuadroTexto 468">
          <a:extLst>
            <a:ext uri="{FF2B5EF4-FFF2-40B4-BE49-F238E27FC236}">
              <a16:creationId xmlns:a16="http://schemas.microsoft.com/office/drawing/2014/main" id="{C0E22A5B-3F3A-43A1-8243-0B9A99B2B51A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70" name="CuadroTexto 469">
          <a:extLst>
            <a:ext uri="{FF2B5EF4-FFF2-40B4-BE49-F238E27FC236}">
              <a16:creationId xmlns:a16="http://schemas.microsoft.com/office/drawing/2014/main" id="{80BA92EF-F82E-4801-A6AB-894BF7D67979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1" name="CuadroTexto 470">
          <a:extLst>
            <a:ext uri="{FF2B5EF4-FFF2-40B4-BE49-F238E27FC236}">
              <a16:creationId xmlns:a16="http://schemas.microsoft.com/office/drawing/2014/main" id="{F68CF2D9-1ECA-44A8-A8B9-8BA1C92BAFEA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2" name="CuadroTexto 471">
          <a:extLst>
            <a:ext uri="{FF2B5EF4-FFF2-40B4-BE49-F238E27FC236}">
              <a16:creationId xmlns:a16="http://schemas.microsoft.com/office/drawing/2014/main" id="{671C96BD-910E-4413-B9C3-3FDB52C35199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73" name="CuadroTexto 472">
          <a:extLst>
            <a:ext uri="{FF2B5EF4-FFF2-40B4-BE49-F238E27FC236}">
              <a16:creationId xmlns:a16="http://schemas.microsoft.com/office/drawing/2014/main" id="{4AFA8F0F-6E49-4EF9-890D-E8234B2B0C1B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74" name="CuadroTexto 473">
          <a:extLst>
            <a:ext uri="{FF2B5EF4-FFF2-40B4-BE49-F238E27FC236}">
              <a16:creationId xmlns:a16="http://schemas.microsoft.com/office/drawing/2014/main" id="{0E6A4E04-FEE6-4ED6-9E48-13EE5370C500}"/>
            </a:ext>
          </a:extLst>
        </xdr:cNvPr>
        <xdr:cNvSpPr txBox="1"/>
      </xdr:nvSpPr>
      <xdr:spPr>
        <a:xfrm>
          <a:off x="1766726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5" name="CuadroTexto 474">
          <a:extLst>
            <a:ext uri="{FF2B5EF4-FFF2-40B4-BE49-F238E27FC236}">
              <a16:creationId xmlns:a16="http://schemas.microsoft.com/office/drawing/2014/main" id="{AC2CD2FE-12F6-4E92-9A1F-A272C843CC0E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A96526BD-FDAD-4B1B-809A-5BAAFC246D39}"/>
            </a:ext>
          </a:extLst>
        </xdr:cNvPr>
        <xdr:cNvSpPr txBox="1"/>
      </xdr:nvSpPr>
      <xdr:spPr>
        <a:xfrm>
          <a:off x="1766726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zoomScale="40" zoomScaleNormal="40" workbookViewId="0">
      <selection activeCell="D63" sqref="D63:D64"/>
    </sheetView>
  </sheetViews>
  <sheetFormatPr baseColWidth="10" defaultColWidth="9.140625" defaultRowHeight="15" x14ac:dyDescent="0.25"/>
  <cols>
    <col min="1" max="1" width="19.42578125" customWidth="1"/>
    <col min="2" max="2" width="45" customWidth="1"/>
    <col min="3" max="4" width="12" customWidth="1"/>
    <col min="5" max="5" width="18" customWidth="1"/>
    <col min="6" max="6" width="41.140625" customWidth="1"/>
    <col min="7" max="7" width="45" customWidth="1"/>
    <col min="8" max="8" width="23.28515625" customWidth="1"/>
    <col min="9" max="9" width="48.5703125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29</v>
      </c>
      <c r="B2" s="3" t="s">
        <v>30</v>
      </c>
      <c r="C2" s="3">
        <v>13054</v>
      </c>
      <c r="D2" s="4">
        <v>46083</v>
      </c>
      <c r="E2" s="5" t="s">
        <v>31</v>
      </c>
      <c r="F2" s="6" t="s">
        <v>32</v>
      </c>
      <c r="G2" s="25" t="s">
        <v>21</v>
      </c>
      <c r="H2" s="25" t="str">
        <f>IF(G2="","",VLOOKUP(G2,REFERENCIA!$A$1:$B$14,2,0))</f>
        <v>TIPO C</v>
      </c>
      <c r="I2" s="26" t="s">
        <v>75</v>
      </c>
      <c r="J2" s="26">
        <v>12.98</v>
      </c>
    </row>
    <row r="3" spans="1:10" ht="30" x14ac:dyDescent="0.25">
      <c r="A3" s="2" t="s">
        <v>33</v>
      </c>
      <c r="B3" s="3" t="s">
        <v>34</v>
      </c>
      <c r="C3" s="3">
        <v>3237</v>
      </c>
      <c r="D3" s="4">
        <v>46083</v>
      </c>
      <c r="E3" s="5" t="s">
        <v>31</v>
      </c>
      <c r="F3" s="6" t="s">
        <v>35</v>
      </c>
      <c r="G3" s="25" t="s">
        <v>21</v>
      </c>
      <c r="H3" s="25" t="str">
        <f>IF(G3="","",VLOOKUP(G3,REFERENCIA!$A$1:$B$14,2,0))</f>
        <v>TIPO C</v>
      </c>
      <c r="I3" s="26" t="s">
        <v>76</v>
      </c>
      <c r="J3" s="26">
        <v>1.46</v>
      </c>
    </row>
    <row r="4" spans="1:10" ht="30" x14ac:dyDescent="0.25">
      <c r="A4" s="2" t="s">
        <v>36</v>
      </c>
      <c r="B4" s="3" t="s">
        <v>37</v>
      </c>
      <c r="C4" s="3">
        <v>5666</v>
      </c>
      <c r="D4" s="4">
        <v>46083</v>
      </c>
      <c r="E4" s="5" t="s">
        <v>31</v>
      </c>
      <c r="F4" s="6" t="s">
        <v>38</v>
      </c>
      <c r="G4" s="25" t="s">
        <v>21</v>
      </c>
      <c r="H4" s="25" t="str">
        <f>IF(G4="","",VLOOKUP(G4,REFERENCIA!$A$1:$B$14,2,0))</f>
        <v>TIPO C</v>
      </c>
      <c r="I4" s="26" t="s">
        <v>77</v>
      </c>
      <c r="J4" s="26">
        <v>3.75</v>
      </c>
    </row>
    <row r="5" spans="1:10" x14ac:dyDescent="0.25">
      <c r="A5" s="2" t="s">
        <v>29</v>
      </c>
      <c r="B5" s="3" t="s">
        <v>39</v>
      </c>
      <c r="C5" s="3">
        <v>3369</v>
      </c>
      <c r="D5" s="4">
        <v>46083</v>
      </c>
      <c r="E5" s="5" t="s">
        <v>31</v>
      </c>
      <c r="F5" s="6" t="s">
        <v>32</v>
      </c>
      <c r="G5" s="25" t="s">
        <v>16</v>
      </c>
      <c r="H5" s="25" t="str">
        <f>IF(G5="","",VLOOKUP(G5,REFERENCIA!$A$1:$B$14,2,0))</f>
        <v>TIPO B</v>
      </c>
      <c r="I5" s="6" t="s">
        <v>78</v>
      </c>
      <c r="J5" s="6"/>
    </row>
    <row r="6" spans="1:10" x14ac:dyDescent="0.25">
      <c r="A6" s="2" t="s">
        <v>29</v>
      </c>
      <c r="B6" s="3" t="s">
        <v>39</v>
      </c>
      <c r="C6" s="3">
        <v>105302</v>
      </c>
      <c r="D6" s="4">
        <v>46083</v>
      </c>
      <c r="E6" s="5" t="s">
        <v>31</v>
      </c>
      <c r="F6" s="6" t="s">
        <v>32</v>
      </c>
      <c r="G6" s="25" t="s">
        <v>16</v>
      </c>
      <c r="H6" s="25" t="str">
        <f>IF(G6="","",VLOOKUP(G6,REFERENCIA!$A$1:$B$14,2,0))</f>
        <v>TIPO B</v>
      </c>
      <c r="I6" s="6" t="s">
        <v>78</v>
      </c>
      <c r="J6" s="6"/>
    </row>
    <row r="7" spans="1:10" x14ac:dyDescent="0.25">
      <c r="A7" s="2" t="s">
        <v>29</v>
      </c>
      <c r="B7" s="3" t="s">
        <v>39</v>
      </c>
      <c r="C7" s="3">
        <v>105327</v>
      </c>
      <c r="D7" s="4">
        <v>46083</v>
      </c>
      <c r="E7" s="5" t="s">
        <v>31</v>
      </c>
      <c r="F7" s="6" t="s">
        <v>32</v>
      </c>
      <c r="G7" s="25" t="s">
        <v>16</v>
      </c>
      <c r="H7" s="25" t="str">
        <f>IF(G7="","",VLOOKUP(G7,REFERENCIA!$A$1:$B$14,2,0))</f>
        <v>TIPO B</v>
      </c>
      <c r="I7" s="6" t="s">
        <v>78</v>
      </c>
      <c r="J7" s="6"/>
    </row>
    <row r="8" spans="1:10" x14ac:dyDescent="0.25">
      <c r="A8" s="3" t="s">
        <v>29</v>
      </c>
      <c r="B8" s="3" t="s">
        <v>34</v>
      </c>
      <c r="C8" s="3">
        <v>21944</v>
      </c>
      <c r="D8" s="7">
        <v>46083</v>
      </c>
      <c r="E8" s="8" t="s">
        <v>40</v>
      </c>
      <c r="F8" s="3" t="s">
        <v>41</v>
      </c>
      <c r="G8" s="25" t="s">
        <v>12</v>
      </c>
      <c r="H8" s="25" t="str">
        <f>IF(G8="","",VLOOKUP(G8,REFERENCIA!$A$1:$B$14,2,0))</f>
        <v>TIPO A</v>
      </c>
      <c r="I8" s="3" t="s">
        <v>79</v>
      </c>
      <c r="J8" s="6"/>
    </row>
    <row r="9" spans="1:10" x14ac:dyDescent="0.25">
      <c r="A9" s="3" t="s">
        <v>29</v>
      </c>
      <c r="B9" s="3" t="s">
        <v>42</v>
      </c>
      <c r="C9" s="3">
        <v>21938</v>
      </c>
      <c r="D9" s="7">
        <v>46083</v>
      </c>
      <c r="E9" s="8" t="s">
        <v>40</v>
      </c>
      <c r="F9" s="3" t="s">
        <v>41</v>
      </c>
      <c r="G9" s="25" t="s">
        <v>12</v>
      </c>
      <c r="H9" s="25" t="str">
        <f>IF(G9="","",VLOOKUP(G9,REFERENCIA!$A$1:$B$14,2,0))</f>
        <v>TIPO A</v>
      </c>
      <c r="I9" s="3" t="s">
        <v>79</v>
      </c>
      <c r="J9" s="6"/>
    </row>
    <row r="10" spans="1:10" x14ac:dyDescent="0.25">
      <c r="A10" s="3" t="s">
        <v>29</v>
      </c>
      <c r="B10" s="3" t="s">
        <v>43</v>
      </c>
      <c r="C10" s="9">
        <v>220220</v>
      </c>
      <c r="D10" s="7">
        <v>46083</v>
      </c>
      <c r="E10" s="8" t="s">
        <v>40</v>
      </c>
      <c r="F10" s="3" t="s">
        <v>41</v>
      </c>
      <c r="G10" s="25" t="s">
        <v>12</v>
      </c>
      <c r="H10" s="25" t="str">
        <f>IF(G10="","",VLOOKUP(G10,REFERENCIA!$A$1:$B$14,2,0))</f>
        <v>TIPO A</v>
      </c>
      <c r="I10" s="3" t="s">
        <v>79</v>
      </c>
      <c r="J10" s="6"/>
    </row>
    <row r="11" spans="1:10" x14ac:dyDescent="0.25">
      <c r="A11" s="2" t="s">
        <v>29</v>
      </c>
      <c r="B11" s="3" t="s">
        <v>44</v>
      </c>
      <c r="C11" s="3">
        <v>10099</v>
      </c>
      <c r="D11" s="4">
        <v>46083</v>
      </c>
      <c r="E11" s="5" t="s">
        <v>31</v>
      </c>
      <c r="F11" s="6" t="s">
        <v>45</v>
      </c>
      <c r="G11" s="25" t="s">
        <v>13</v>
      </c>
      <c r="H11" s="25" t="str">
        <f>IF(G11="","",VLOOKUP(G11,REFERENCIA!$A$1:$B$14,2,0))</f>
        <v>TIPO A</v>
      </c>
      <c r="I11" s="6" t="s">
        <v>13</v>
      </c>
      <c r="J11" s="6"/>
    </row>
    <row r="12" spans="1:10" x14ac:dyDescent="0.25">
      <c r="A12" s="2" t="s">
        <v>29</v>
      </c>
      <c r="B12" s="10" t="s">
        <v>46</v>
      </c>
      <c r="C12" s="10">
        <v>26708</v>
      </c>
      <c r="D12" s="4">
        <v>46084</v>
      </c>
      <c r="E12" s="5" t="s">
        <v>31</v>
      </c>
      <c r="F12" s="6" t="s">
        <v>32</v>
      </c>
      <c r="G12" s="25" t="s">
        <v>13</v>
      </c>
      <c r="H12" s="25" t="str">
        <f>IF(G12="","",VLOOKUP(G12,REFERENCIA!$A$1:$B$14,2,0))</f>
        <v>TIPO A</v>
      </c>
      <c r="I12" s="6" t="s">
        <v>13</v>
      </c>
      <c r="J12" s="6"/>
    </row>
    <row r="13" spans="1:10" x14ac:dyDescent="0.25">
      <c r="A13" s="2" t="s">
        <v>29</v>
      </c>
      <c r="B13" s="10" t="s">
        <v>46</v>
      </c>
      <c r="C13" s="10">
        <v>26707</v>
      </c>
      <c r="D13" s="4">
        <v>46084</v>
      </c>
      <c r="E13" s="5" t="s">
        <v>31</v>
      </c>
      <c r="F13" s="6" t="s">
        <v>32</v>
      </c>
      <c r="G13" s="25" t="s">
        <v>13</v>
      </c>
      <c r="H13" s="25" t="str">
        <f>IF(G13="","",VLOOKUP(G13,REFERENCIA!$A$1:$B$14,2,0))</f>
        <v>TIPO A</v>
      </c>
      <c r="I13" s="6" t="s">
        <v>13</v>
      </c>
      <c r="J13" s="6"/>
    </row>
    <row r="14" spans="1:10" x14ac:dyDescent="0.25">
      <c r="A14" s="3" t="s">
        <v>29</v>
      </c>
      <c r="B14" s="9" t="s">
        <v>47</v>
      </c>
      <c r="C14" s="9">
        <v>3386</v>
      </c>
      <c r="D14" s="7">
        <v>46084</v>
      </c>
      <c r="E14" s="8" t="s">
        <v>31</v>
      </c>
      <c r="F14" s="3" t="s">
        <v>32</v>
      </c>
      <c r="G14" s="25" t="s">
        <v>16</v>
      </c>
      <c r="H14" s="25" t="str">
        <f>IF(G14="","",VLOOKUP(G14,REFERENCIA!$A$1:$B$14,2,0))</f>
        <v>TIPO B</v>
      </c>
      <c r="I14" s="3" t="s">
        <v>78</v>
      </c>
      <c r="J14" s="6"/>
    </row>
    <row r="15" spans="1:10" x14ac:dyDescent="0.25">
      <c r="A15" s="3" t="s">
        <v>29</v>
      </c>
      <c r="B15" s="9" t="s">
        <v>47</v>
      </c>
      <c r="C15" s="9">
        <v>3410</v>
      </c>
      <c r="D15" s="7">
        <v>46084</v>
      </c>
      <c r="E15" s="8" t="s">
        <v>31</v>
      </c>
      <c r="F15" s="3" t="s">
        <v>32</v>
      </c>
      <c r="G15" s="25" t="s">
        <v>16</v>
      </c>
      <c r="H15" s="25" t="str">
        <f>IF(G15="","",VLOOKUP(G15,REFERENCIA!$A$1:$B$14,2,0))</f>
        <v>TIPO B</v>
      </c>
      <c r="I15" s="3" t="s">
        <v>78</v>
      </c>
      <c r="J15" s="6"/>
    </row>
    <row r="16" spans="1:10" x14ac:dyDescent="0.25">
      <c r="A16" s="3" t="s">
        <v>29</v>
      </c>
      <c r="B16" s="3" t="s">
        <v>30</v>
      </c>
      <c r="C16" s="3">
        <v>13075</v>
      </c>
      <c r="D16" s="7">
        <v>46085</v>
      </c>
      <c r="E16" s="8" t="s">
        <v>31</v>
      </c>
      <c r="F16" s="3" t="s">
        <v>48</v>
      </c>
      <c r="G16" s="25" t="s">
        <v>17</v>
      </c>
      <c r="H16" s="25" t="str">
        <f>IF(G16="","",VLOOKUP(G16,REFERENCIA!$A$1:$B$14,2,0))</f>
        <v>TIPO B</v>
      </c>
      <c r="I16" s="3" t="s">
        <v>80</v>
      </c>
      <c r="J16" s="6"/>
    </row>
    <row r="17" spans="1:10" ht="30" x14ac:dyDescent="0.25">
      <c r="A17" s="3" t="s">
        <v>33</v>
      </c>
      <c r="B17" s="3" t="s">
        <v>49</v>
      </c>
      <c r="C17" s="3">
        <v>102</v>
      </c>
      <c r="D17" s="7">
        <v>46085</v>
      </c>
      <c r="E17" s="8" t="s">
        <v>31</v>
      </c>
      <c r="F17" s="3" t="s">
        <v>50</v>
      </c>
      <c r="G17" s="25" t="s">
        <v>21</v>
      </c>
      <c r="H17" s="25" t="str">
        <f>IF(G17="","",VLOOKUP(G17,REFERENCIA!$A$1:$B$14,2,0))</f>
        <v>TIPO C</v>
      </c>
      <c r="I17" s="27" t="s">
        <v>81</v>
      </c>
      <c r="J17" s="26">
        <v>2.86</v>
      </c>
    </row>
    <row r="18" spans="1:10" x14ac:dyDescent="0.25">
      <c r="A18" s="11" t="s">
        <v>33</v>
      </c>
      <c r="B18" s="12" t="s">
        <v>30</v>
      </c>
      <c r="C18" s="13" t="s">
        <v>51</v>
      </c>
      <c r="D18" s="14">
        <v>46087</v>
      </c>
      <c r="E18" s="15" t="s">
        <v>31</v>
      </c>
      <c r="F18" s="16" t="s">
        <v>50</v>
      </c>
      <c r="G18" s="25" t="s">
        <v>16</v>
      </c>
      <c r="H18" s="25" t="str">
        <f>IF(G18="","",VLOOKUP(G18,REFERENCIA!$A$1:$B$14,2,0))</f>
        <v>TIPO B</v>
      </c>
      <c r="I18" s="20" t="s">
        <v>78</v>
      </c>
      <c r="J18" s="20"/>
    </row>
    <row r="19" spans="1:10" ht="28.5" x14ac:dyDescent="0.25">
      <c r="A19" s="11" t="s">
        <v>29</v>
      </c>
      <c r="B19" s="12" t="s">
        <v>52</v>
      </c>
      <c r="C19" s="13" t="s">
        <v>53</v>
      </c>
      <c r="D19" s="14">
        <v>46087</v>
      </c>
      <c r="E19" s="15" t="s">
        <v>31</v>
      </c>
      <c r="F19" s="16" t="s">
        <v>54</v>
      </c>
      <c r="G19" s="25" t="s">
        <v>21</v>
      </c>
      <c r="H19" s="25" t="str">
        <f>IF(G19="","",VLOOKUP(G19,REFERENCIA!$A$1:$B$14,2,0))</f>
        <v>TIPO C</v>
      </c>
      <c r="I19" s="28" t="s">
        <v>82</v>
      </c>
      <c r="J19" s="28">
        <v>16.920000000000002</v>
      </c>
    </row>
    <row r="20" spans="1:10" x14ac:dyDescent="0.25">
      <c r="A20" s="11" t="s">
        <v>29</v>
      </c>
      <c r="B20" s="12" t="s">
        <v>49</v>
      </c>
      <c r="C20" s="13" t="s">
        <v>55</v>
      </c>
      <c r="D20" s="14">
        <v>46087</v>
      </c>
      <c r="E20" s="15" t="s">
        <v>31</v>
      </c>
      <c r="F20" s="16" t="s">
        <v>32</v>
      </c>
      <c r="G20" s="25" t="s">
        <v>21</v>
      </c>
      <c r="H20" s="25" t="str">
        <f>IF(G20="","",VLOOKUP(G20,REFERENCIA!$A$1:$B$14,2,0))</f>
        <v>TIPO C</v>
      </c>
      <c r="I20" s="28" t="s">
        <v>83</v>
      </c>
      <c r="J20" s="28">
        <v>2.5</v>
      </c>
    </row>
    <row r="21" spans="1:10" x14ac:dyDescent="0.25">
      <c r="A21" s="3" t="s">
        <v>36</v>
      </c>
      <c r="B21" s="3" t="s">
        <v>30</v>
      </c>
      <c r="C21" s="9">
        <v>13094</v>
      </c>
      <c r="D21" s="7">
        <v>46087</v>
      </c>
      <c r="E21" s="8" t="s">
        <v>31</v>
      </c>
      <c r="F21" s="3" t="s">
        <v>38</v>
      </c>
      <c r="G21" s="25" t="s">
        <v>23</v>
      </c>
      <c r="H21" s="25" t="str">
        <f>IF(G21="","",VLOOKUP(G21,REFERENCIA!$A$1:$B$14,2,0))</f>
        <v>TIPO C</v>
      </c>
      <c r="I21" s="27" t="s">
        <v>84</v>
      </c>
      <c r="J21" s="26">
        <v>5.25</v>
      </c>
    </row>
    <row r="22" spans="1:10" x14ac:dyDescent="0.25">
      <c r="A22" s="3" t="s">
        <v>29</v>
      </c>
      <c r="B22" s="3" t="s">
        <v>34</v>
      </c>
      <c r="C22" s="3">
        <v>2874</v>
      </c>
      <c r="D22" s="7">
        <v>46087</v>
      </c>
      <c r="E22" s="8" t="s">
        <v>31</v>
      </c>
      <c r="F22" s="3" t="s">
        <v>45</v>
      </c>
      <c r="G22" s="25" t="s">
        <v>27</v>
      </c>
      <c r="H22" s="25" t="str">
        <f>IF(G22="","",VLOOKUP(G22,REFERENCIA!$A$1:$B$14,2,0))</f>
        <v>TIPO E</v>
      </c>
      <c r="I22" s="3" t="s">
        <v>85</v>
      </c>
      <c r="J22" s="6"/>
    </row>
    <row r="23" spans="1:10" x14ac:dyDescent="0.25">
      <c r="A23" s="3" t="s">
        <v>33</v>
      </c>
      <c r="B23" s="3" t="s">
        <v>42</v>
      </c>
      <c r="C23" s="3">
        <v>22545</v>
      </c>
      <c r="D23" s="7">
        <v>46090</v>
      </c>
      <c r="E23" s="8" t="s">
        <v>31</v>
      </c>
      <c r="F23" s="3" t="s">
        <v>50</v>
      </c>
      <c r="G23" s="25" t="s">
        <v>10</v>
      </c>
      <c r="H23" s="25" t="str">
        <f>IF(G23="","",VLOOKUP(G23,REFERENCIA!$A$1:$B$14,2,0))</f>
        <v>TIPO A</v>
      </c>
      <c r="I23" s="3" t="s">
        <v>86</v>
      </c>
      <c r="J23" s="6"/>
    </row>
    <row r="24" spans="1:10" x14ac:dyDescent="0.25">
      <c r="A24" s="3" t="s">
        <v>33</v>
      </c>
      <c r="B24" s="3" t="s">
        <v>49</v>
      </c>
      <c r="C24" s="3">
        <v>17</v>
      </c>
      <c r="D24" s="7">
        <v>46091</v>
      </c>
      <c r="E24" s="8" t="s">
        <v>31</v>
      </c>
      <c r="F24" s="3" t="s">
        <v>50</v>
      </c>
      <c r="G24" s="25" t="s">
        <v>10</v>
      </c>
      <c r="H24" s="25" t="str">
        <f>IF(G24="","",VLOOKUP(G24,REFERENCIA!$A$1:$B$14,2,0))</f>
        <v>TIPO A</v>
      </c>
      <c r="I24" s="21" t="s">
        <v>86</v>
      </c>
      <c r="J24" s="22"/>
    </row>
    <row r="25" spans="1:10" x14ac:dyDescent="0.25">
      <c r="A25" s="3" t="s">
        <v>29</v>
      </c>
      <c r="B25" s="3" t="s">
        <v>56</v>
      </c>
      <c r="C25" s="3">
        <v>55919</v>
      </c>
      <c r="D25" s="7">
        <v>46091</v>
      </c>
      <c r="E25" s="8" t="s">
        <v>31</v>
      </c>
      <c r="F25" s="3" t="s">
        <v>32</v>
      </c>
      <c r="G25" s="25" t="s">
        <v>14</v>
      </c>
      <c r="H25" s="25" t="str">
        <f>IF(G25="","",VLOOKUP(G25,REFERENCIA!$A$1:$B$14,2,0))</f>
        <v>TIPO B</v>
      </c>
      <c r="I25" s="3" t="s">
        <v>87</v>
      </c>
      <c r="J25" s="6"/>
    </row>
    <row r="26" spans="1:10" x14ac:dyDescent="0.25">
      <c r="A26" s="3" t="s">
        <v>29</v>
      </c>
      <c r="B26" s="3" t="s">
        <v>56</v>
      </c>
      <c r="C26" s="3">
        <v>55906</v>
      </c>
      <c r="D26" s="7">
        <v>46091</v>
      </c>
      <c r="E26" s="8" t="s">
        <v>31</v>
      </c>
      <c r="F26" s="3" t="s">
        <v>32</v>
      </c>
      <c r="G26" s="25" t="s">
        <v>14</v>
      </c>
      <c r="H26" s="25" t="str">
        <f>IF(G26="","",VLOOKUP(G26,REFERENCIA!$A$1:$B$14,2,0))</f>
        <v>TIPO B</v>
      </c>
      <c r="I26" s="3" t="s">
        <v>87</v>
      </c>
      <c r="J26" s="6"/>
    </row>
    <row r="27" spans="1:10" x14ac:dyDescent="0.25">
      <c r="A27" s="3" t="s">
        <v>29</v>
      </c>
      <c r="B27" s="17" t="s">
        <v>57</v>
      </c>
      <c r="C27" s="17">
        <v>6309</v>
      </c>
      <c r="D27" s="7">
        <v>46094</v>
      </c>
      <c r="E27" s="8" t="s">
        <v>31</v>
      </c>
      <c r="F27" s="3" t="s">
        <v>48</v>
      </c>
      <c r="G27" s="25" t="s">
        <v>10</v>
      </c>
      <c r="H27" s="25" t="str">
        <f>IF(G27="","",VLOOKUP(G27,REFERENCIA!$A$1:$B$14,2,0))</f>
        <v>TIPO A</v>
      </c>
      <c r="I27" s="23" t="s">
        <v>86</v>
      </c>
      <c r="J27" s="22"/>
    </row>
    <row r="28" spans="1:10" x14ac:dyDescent="0.25">
      <c r="A28" s="3" t="s">
        <v>29</v>
      </c>
      <c r="B28" s="17" t="s">
        <v>58</v>
      </c>
      <c r="C28" s="17">
        <v>125053</v>
      </c>
      <c r="D28" s="7">
        <v>46094</v>
      </c>
      <c r="E28" s="8" t="s">
        <v>31</v>
      </c>
      <c r="F28" s="3" t="s">
        <v>59</v>
      </c>
      <c r="G28" s="25" t="s">
        <v>23</v>
      </c>
      <c r="H28" s="25" t="str">
        <f>IF(G28="","",VLOOKUP(G28,REFERENCIA!$A$1:$B$14,2,0))</f>
        <v>TIPO C</v>
      </c>
      <c r="I28" s="29" t="s">
        <v>88</v>
      </c>
      <c r="J28" s="30">
        <v>90.86</v>
      </c>
    </row>
    <row r="29" spans="1:10" x14ac:dyDescent="0.25">
      <c r="A29" s="3" t="s">
        <v>33</v>
      </c>
      <c r="B29" s="17" t="s">
        <v>60</v>
      </c>
      <c r="C29" s="17">
        <v>195</v>
      </c>
      <c r="D29" s="7">
        <v>46095</v>
      </c>
      <c r="E29" s="8" t="s">
        <v>31</v>
      </c>
      <c r="F29" s="3" t="s">
        <v>61</v>
      </c>
      <c r="G29" s="25" t="s">
        <v>27</v>
      </c>
      <c r="H29" s="25" t="str">
        <f>IF(G29="","",VLOOKUP(G29,REFERENCIA!$A$1:$B$14,2,0))</f>
        <v>TIPO E</v>
      </c>
      <c r="I29" s="29" t="s">
        <v>89</v>
      </c>
      <c r="J29" s="30">
        <v>1051.3699999999999</v>
      </c>
    </row>
    <row r="30" spans="1:10" x14ac:dyDescent="0.25">
      <c r="A30" s="3" t="s">
        <v>36</v>
      </c>
      <c r="B30" s="17" t="s">
        <v>30</v>
      </c>
      <c r="C30" s="17">
        <v>13178</v>
      </c>
      <c r="D30" s="7">
        <v>46097</v>
      </c>
      <c r="E30" s="8" t="s">
        <v>31</v>
      </c>
      <c r="F30" s="3" t="s">
        <v>38</v>
      </c>
      <c r="G30" s="25" t="s">
        <v>10</v>
      </c>
      <c r="H30" s="25" t="str">
        <f>IF(G30="","",VLOOKUP(G30,REFERENCIA!$A$1:$B$14,2,0))</f>
        <v>TIPO A</v>
      </c>
      <c r="I30" s="24" t="s">
        <v>90</v>
      </c>
      <c r="J30" s="22"/>
    </row>
    <row r="31" spans="1:10" x14ac:dyDescent="0.25">
      <c r="A31" s="3" t="s">
        <v>36</v>
      </c>
      <c r="B31" s="9" t="s">
        <v>37</v>
      </c>
      <c r="C31" s="9">
        <v>5779</v>
      </c>
      <c r="D31" s="7">
        <v>46097</v>
      </c>
      <c r="E31" s="8" t="s">
        <v>31</v>
      </c>
      <c r="F31" s="3" t="s">
        <v>38</v>
      </c>
      <c r="G31" s="25" t="s">
        <v>14</v>
      </c>
      <c r="H31" s="25" t="str">
        <f>IF(G31="","",VLOOKUP(G31,REFERENCIA!$A$1:$B$14,2,0))</f>
        <v>TIPO B</v>
      </c>
      <c r="I31" s="3" t="s">
        <v>87</v>
      </c>
      <c r="J31" s="6"/>
    </row>
    <row r="32" spans="1:10" x14ac:dyDescent="0.25">
      <c r="A32" s="3" t="s">
        <v>29</v>
      </c>
      <c r="B32" s="9" t="s">
        <v>52</v>
      </c>
      <c r="C32" s="9">
        <v>39729</v>
      </c>
      <c r="D32" s="7">
        <v>46098</v>
      </c>
      <c r="E32" s="8" t="s">
        <v>31</v>
      </c>
      <c r="F32" s="3" t="s">
        <v>48</v>
      </c>
      <c r="G32" s="25" t="s">
        <v>23</v>
      </c>
      <c r="H32" s="25" t="str">
        <f>IF(G32="","",VLOOKUP(G32,REFERENCIA!$A$1:$B$14,2,0))</f>
        <v>TIPO C</v>
      </c>
      <c r="I32" s="27" t="s">
        <v>91</v>
      </c>
      <c r="J32" s="26">
        <v>770.28</v>
      </c>
    </row>
    <row r="33" spans="1:10" x14ac:dyDescent="0.25">
      <c r="A33" s="3" t="s">
        <v>36</v>
      </c>
      <c r="B33" s="18" t="s">
        <v>62</v>
      </c>
      <c r="C33" s="18">
        <v>5743</v>
      </c>
      <c r="D33" s="7">
        <v>46098</v>
      </c>
      <c r="E33" s="8" t="s">
        <v>31</v>
      </c>
      <c r="F33" s="3" t="s">
        <v>38</v>
      </c>
      <c r="G33" s="25" t="s">
        <v>21</v>
      </c>
      <c r="H33" s="25" t="str">
        <f>IF(G33="","",VLOOKUP(G33,REFERENCIA!$A$1:$B$14,2,0))</f>
        <v>TIPO C</v>
      </c>
      <c r="I33" s="27" t="s">
        <v>92</v>
      </c>
      <c r="J33" s="26">
        <v>2</v>
      </c>
    </row>
    <row r="34" spans="1:10" x14ac:dyDescent="0.25">
      <c r="A34" s="3" t="s">
        <v>33</v>
      </c>
      <c r="B34" s="18" t="s">
        <v>47</v>
      </c>
      <c r="C34" s="18">
        <v>3941</v>
      </c>
      <c r="D34" s="7">
        <v>46098</v>
      </c>
      <c r="E34" s="8" t="s">
        <v>31</v>
      </c>
      <c r="F34" s="3" t="s">
        <v>50</v>
      </c>
      <c r="G34" s="25" t="s">
        <v>16</v>
      </c>
      <c r="H34" s="25" t="str">
        <f>IF(G34="","",VLOOKUP(G34,REFERENCIA!$A$1:$B$14,2,0))</f>
        <v>TIPO B</v>
      </c>
      <c r="I34" s="3" t="s">
        <v>78</v>
      </c>
      <c r="J34" s="6"/>
    </row>
    <row r="35" spans="1:10" x14ac:dyDescent="0.25">
      <c r="A35" s="3" t="s">
        <v>33</v>
      </c>
      <c r="B35" s="18" t="s">
        <v>30</v>
      </c>
      <c r="C35" s="18">
        <v>13200</v>
      </c>
      <c r="D35" s="7">
        <v>46098</v>
      </c>
      <c r="E35" s="8" t="s">
        <v>31</v>
      </c>
      <c r="F35" s="3" t="s">
        <v>63</v>
      </c>
      <c r="G35" s="25" t="s">
        <v>27</v>
      </c>
      <c r="H35" s="25" t="str">
        <f>IF(G35="","",VLOOKUP(G35,REFERENCIA!$A$1:$B$14,2,0))</f>
        <v>TIPO E</v>
      </c>
      <c r="I35" s="3" t="s">
        <v>85</v>
      </c>
      <c r="J35" s="6"/>
    </row>
    <row r="36" spans="1:10" x14ac:dyDescent="0.25">
      <c r="A36" s="3" t="s">
        <v>36</v>
      </c>
      <c r="B36" s="18" t="s">
        <v>34</v>
      </c>
      <c r="C36" s="18">
        <v>2911</v>
      </c>
      <c r="D36" s="7">
        <v>46099</v>
      </c>
      <c r="E36" s="8" t="s">
        <v>31</v>
      </c>
      <c r="F36" s="3" t="s">
        <v>64</v>
      </c>
      <c r="G36" s="25" t="s">
        <v>26</v>
      </c>
      <c r="H36" s="25" t="str">
        <f>IF(G36="","",VLOOKUP(G36,REFERENCIA!$A$1:$B$14,2,0))</f>
        <v>TIPO D</v>
      </c>
      <c r="I36" s="31" t="s">
        <v>93</v>
      </c>
      <c r="J36" s="32">
        <v>1.58</v>
      </c>
    </row>
    <row r="37" spans="1:10" x14ac:dyDescent="0.25">
      <c r="A37" s="3" t="s">
        <v>36</v>
      </c>
      <c r="B37" s="18" t="s">
        <v>30</v>
      </c>
      <c r="C37" s="18">
        <v>13193</v>
      </c>
      <c r="D37" s="7">
        <v>46099</v>
      </c>
      <c r="E37" s="8" t="s">
        <v>31</v>
      </c>
      <c r="F37" s="3" t="s">
        <v>65</v>
      </c>
      <c r="G37" s="25" t="s">
        <v>17</v>
      </c>
      <c r="H37" s="25" t="str">
        <f>IF(G37="","",VLOOKUP(G37,REFERENCIA!$A$1:$B$14,2,0))</f>
        <v>TIPO B</v>
      </c>
      <c r="I37" s="3" t="s">
        <v>80</v>
      </c>
      <c r="J37" s="6"/>
    </row>
    <row r="38" spans="1:10" x14ac:dyDescent="0.25">
      <c r="A38" s="3" t="s">
        <v>36</v>
      </c>
      <c r="B38" s="3" t="s">
        <v>66</v>
      </c>
      <c r="C38" s="3">
        <v>18168</v>
      </c>
      <c r="D38" s="7">
        <v>46100</v>
      </c>
      <c r="E38" s="8" t="s">
        <v>31</v>
      </c>
      <c r="F38" s="3" t="s">
        <v>67</v>
      </c>
      <c r="G38" s="25" t="s">
        <v>10</v>
      </c>
      <c r="H38" s="25" t="str">
        <f>IF(G38="","",VLOOKUP(G38,REFERENCIA!$A$1:$B$14,2,0))</f>
        <v>TIPO A</v>
      </c>
      <c r="I38" s="3" t="s">
        <v>90</v>
      </c>
      <c r="J38" s="6"/>
    </row>
    <row r="39" spans="1:10" x14ac:dyDescent="0.25">
      <c r="A39" s="3" t="s">
        <v>33</v>
      </c>
      <c r="B39" s="3" t="s">
        <v>30</v>
      </c>
      <c r="C39" s="3">
        <v>13221</v>
      </c>
      <c r="D39" s="7">
        <v>46101</v>
      </c>
      <c r="E39" s="8" t="s">
        <v>31</v>
      </c>
      <c r="F39" s="3" t="s">
        <v>50</v>
      </c>
      <c r="G39" s="25" t="s">
        <v>27</v>
      </c>
      <c r="H39" s="25" t="str">
        <f>IF(G39="","",VLOOKUP(G39,REFERENCIA!$A$1:$B$14,2,0))</f>
        <v>TIPO E</v>
      </c>
      <c r="I39" s="3" t="s">
        <v>85</v>
      </c>
      <c r="J39" s="6"/>
    </row>
    <row r="40" spans="1:10" x14ac:dyDescent="0.25">
      <c r="A40" s="3" t="s">
        <v>33</v>
      </c>
      <c r="B40" s="18" t="s">
        <v>68</v>
      </c>
      <c r="C40" s="18">
        <v>21281</v>
      </c>
      <c r="D40" s="7">
        <v>46104</v>
      </c>
      <c r="E40" s="8" t="s">
        <v>31</v>
      </c>
      <c r="F40" s="3" t="s">
        <v>50</v>
      </c>
      <c r="G40" s="25" t="s">
        <v>14</v>
      </c>
      <c r="H40" s="25" t="str">
        <f>IF(G40="","",VLOOKUP(G40,REFERENCIA!$A$1:$B$14,2,0))</f>
        <v>TIPO B</v>
      </c>
      <c r="I40" s="3" t="s">
        <v>94</v>
      </c>
      <c r="J40" s="6"/>
    </row>
    <row r="41" spans="1:10" ht="30" x14ac:dyDescent="0.25">
      <c r="A41" s="3" t="s">
        <v>36</v>
      </c>
      <c r="B41" s="3" t="s">
        <v>69</v>
      </c>
      <c r="C41" s="3">
        <v>100</v>
      </c>
      <c r="D41" s="7">
        <v>46104</v>
      </c>
      <c r="E41" s="8" t="s">
        <v>31</v>
      </c>
      <c r="F41" s="3" t="s">
        <v>70</v>
      </c>
      <c r="G41" s="25" t="s">
        <v>23</v>
      </c>
      <c r="H41" s="25" t="str">
        <f>IF(G41="","",VLOOKUP(G41,REFERENCIA!$A$1:$B$14,2,0))</f>
        <v>TIPO C</v>
      </c>
      <c r="I41" s="27" t="s">
        <v>95</v>
      </c>
      <c r="J41" s="26">
        <v>39.979999999999997</v>
      </c>
    </row>
    <row r="42" spans="1:10" x14ac:dyDescent="0.25">
      <c r="A42" s="3" t="s">
        <v>29</v>
      </c>
      <c r="B42" s="3" t="s">
        <v>30</v>
      </c>
      <c r="C42" s="18">
        <v>13237</v>
      </c>
      <c r="D42" s="7">
        <v>46104</v>
      </c>
      <c r="E42" s="8" t="s">
        <v>31</v>
      </c>
      <c r="F42" s="3" t="s">
        <v>32</v>
      </c>
      <c r="G42" s="25" t="s">
        <v>21</v>
      </c>
      <c r="H42" s="25" t="str">
        <f>IF(G42="","",VLOOKUP(G42,REFERENCIA!$A$1:$B$14,2,0))</f>
        <v>TIPO C</v>
      </c>
      <c r="I42" s="27" t="s">
        <v>96</v>
      </c>
      <c r="J42" s="26">
        <v>1.8</v>
      </c>
    </row>
    <row r="43" spans="1:10" ht="30" x14ac:dyDescent="0.25">
      <c r="A43" s="3" t="s">
        <v>29</v>
      </c>
      <c r="B43" s="3" t="s">
        <v>71</v>
      </c>
      <c r="C43" s="18">
        <v>21542</v>
      </c>
      <c r="D43" s="7">
        <v>46105</v>
      </c>
      <c r="E43" s="8" t="s">
        <v>31</v>
      </c>
      <c r="F43" s="3" t="s">
        <v>32</v>
      </c>
      <c r="G43" s="25" t="s">
        <v>10</v>
      </c>
      <c r="H43" s="25" t="str">
        <f>IF(G43="","",VLOOKUP(G43,REFERENCIA!$A$1:$B$14,2,0))</f>
        <v>TIPO A</v>
      </c>
      <c r="I43" s="3" t="s">
        <v>90</v>
      </c>
      <c r="J43" s="6"/>
    </row>
    <row r="44" spans="1:10" x14ac:dyDescent="0.25">
      <c r="A44" s="3" t="s">
        <v>33</v>
      </c>
      <c r="B44" s="18" t="s">
        <v>72</v>
      </c>
      <c r="C44" s="18">
        <v>38731</v>
      </c>
      <c r="D44" s="7">
        <v>46106</v>
      </c>
      <c r="E44" s="8" t="s">
        <v>31</v>
      </c>
      <c r="F44" s="3" t="s">
        <v>61</v>
      </c>
      <c r="G44" s="25" t="s">
        <v>13</v>
      </c>
      <c r="H44" s="25" t="str">
        <f>IF(G44="","",VLOOKUP(G44,REFERENCIA!$A$1:$B$14,2,0))</f>
        <v>TIPO A</v>
      </c>
      <c r="I44" s="3" t="s">
        <v>13</v>
      </c>
      <c r="J44" s="6"/>
    </row>
    <row r="45" spans="1:10" x14ac:dyDescent="0.25">
      <c r="A45" s="3" t="s">
        <v>36</v>
      </c>
      <c r="B45" s="18" t="s">
        <v>30</v>
      </c>
      <c r="C45" s="18">
        <v>13260</v>
      </c>
      <c r="D45" s="7">
        <v>46106</v>
      </c>
      <c r="E45" s="8" t="s">
        <v>31</v>
      </c>
      <c r="F45" s="3" t="s">
        <v>38</v>
      </c>
      <c r="G45" s="25" t="s">
        <v>23</v>
      </c>
      <c r="H45" s="25" t="str">
        <f>IF(G45="","",VLOOKUP(G45,REFERENCIA!$A$1:$B$14,2,0))</f>
        <v>TIPO C</v>
      </c>
      <c r="I45" s="27" t="s">
        <v>97</v>
      </c>
      <c r="J45" s="26">
        <v>23.8</v>
      </c>
    </row>
    <row r="46" spans="1:10" x14ac:dyDescent="0.25">
      <c r="A46" s="3" t="s">
        <v>33</v>
      </c>
      <c r="B46" s="18" t="s">
        <v>73</v>
      </c>
      <c r="C46" s="18">
        <v>2220846</v>
      </c>
      <c r="D46" s="7">
        <v>46107</v>
      </c>
      <c r="E46" s="8" t="s">
        <v>31</v>
      </c>
      <c r="F46" s="3" t="s">
        <v>63</v>
      </c>
      <c r="G46" s="25" t="s">
        <v>27</v>
      </c>
      <c r="H46" s="25" t="str">
        <f>IF(G46="","",VLOOKUP(G46,REFERENCIA!$A$1:$B$14,2,0))</f>
        <v>TIPO E</v>
      </c>
      <c r="I46" s="3" t="s">
        <v>85</v>
      </c>
      <c r="J46" s="6"/>
    </row>
    <row r="47" spans="1:10" x14ac:dyDescent="0.25">
      <c r="A47" s="3" t="s">
        <v>33</v>
      </c>
      <c r="B47" s="18" t="s">
        <v>73</v>
      </c>
      <c r="C47" s="3">
        <v>2220831</v>
      </c>
      <c r="D47" s="7">
        <v>46107</v>
      </c>
      <c r="E47" s="8" t="s">
        <v>31</v>
      </c>
      <c r="F47" s="3" t="s">
        <v>63</v>
      </c>
      <c r="G47" s="25" t="s">
        <v>27</v>
      </c>
      <c r="H47" s="25" t="str">
        <f>IF(G47="","",VLOOKUP(G47,REFERENCIA!$A$1:$B$14,2,0))</f>
        <v>TIPO E</v>
      </c>
      <c r="I47" s="3" t="s">
        <v>85</v>
      </c>
      <c r="J47" s="6"/>
    </row>
    <row r="48" spans="1:10" x14ac:dyDescent="0.25">
      <c r="A48" s="2" t="s">
        <v>33</v>
      </c>
      <c r="B48" s="18" t="s">
        <v>73</v>
      </c>
      <c r="C48" s="18">
        <v>2220833</v>
      </c>
      <c r="D48" s="4">
        <v>46107</v>
      </c>
      <c r="E48" s="5" t="s">
        <v>31</v>
      </c>
      <c r="F48" s="6" t="s">
        <v>63</v>
      </c>
      <c r="G48" s="25" t="s">
        <v>27</v>
      </c>
      <c r="H48" s="25" t="str">
        <f>IF(G48="","",VLOOKUP(G48,REFERENCIA!$A$1:$B$14,2,0))</f>
        <v>TIPO E</v>
      </c>
      <c r="I48" s="6" t="s">
        <v>85</v>
      </c>
      <c r="J48" s="6"/>
    </row>
    <row r="49" spans="1:10" x14ac:dyDescent="0.25">
      <c r="A49" s="2" t="s">
        <v>33</v>
      </c>
      <c r="B49" s="18" t="s">
        <v>73</v>
      </c>
      <c r="C49" s="18">
        <v>2220847</v>
      </c>
      <c r="D49" s="4">
        <v>46107</v>
      </c>
      <c r="E49" s="5" t="s">
        <v>31</v>
      </c>
      <c r="F49" s="6" t="s">
        <v>63</v>
      </c>
      <c r="G49" s="25" t="s">
        <v>27</v>
      </c>
      <c r="H49" s="25" t="str">
        <f>IF(G49="","",VLOOKUP(G49,REFERENCIA!$A$1:$B$14,2,0))</f>
        <v>TIPO E</v>
      </c>
      <c r="I49" s="6" t="s">
        <v>85</v>
      </c>
      <c r="J49" s="6"/>
    </row>
    <row r="50" spans="1:10" x14ac:dyDescent="0.25">
      <c r="A50" s="2" t="s">
        <v>33</v>
      </c>
      <c r="B50" s="18" t="s">
        <v>73</v>
      </c>
      <c r="C50" s="18">
        <v>2220832</v>
      </c>
      <c r="D50" s="4">
        <v>46107</v>
      </c>
      <c r="E50" s="5" t="s">
        <v>31</v>
      </c>
      <c r="F50" s="6" t="s">
        <v>63</v>
      </c>
      <c r="G50" s="25" t="s">
        <v>27</v>
      </c>
      <c r="H50" s="25" t="str">
        <f>IF(G50="","",VLOOKUP(G50,REFERENCIA!$A$1:$B$14,2,0))</f>
        <v>TIPO E</v>
      </c>
      <c r="I50" s="6" t="s">
        <v>85</v>
      </c>
      <c r="J50" s="6"/>
    </row>
    <row r="51" spans="1:10" x14ac:dyDescent="0.25">
      <c r="A51" s="2" t="s">
        <v>36</v>
      </c>
      <c r="B51" s="19" t="s">
        <v>47</v>
      </c>
      <c r="C51" s="19">
        <v>300010881</v>
      </c>
      <c r="D51" s="4">
        <v>46107</v>
      </c>
      <c r="E51" s="5" t="s">
        <v>31</v>
      </c>
      <c r="F51" s="6" t="s">
        <v>67</v>
      </c>
      <c r="G51" s="25" t="s">
        <v>16</v>
      </c>
      <c r="H51" s="25" t="str">
        <f>IF(G51="","",VLOOKUP(G51,REFERENCIA!$A$1:$B$14,2,0))</f>
        <v>TIPO B</v>
      </c>
      <c r="I51" s="6" t="s">
        <v>78</v>
      </c>
      <c r="J51" s="6"/>
    </row>
    <row r="52" spans="1:10" x14ac:dyDescent="0.25">
      <c r="A52" s="2" t="s">
        <v>29</v>
      </c>
      <c r="B52" s="18" t="s">
        <v>58</v>
      </c>
      <c r="C52" s="18">
        <v>125699</v>
      </c>
      <c r="D52" s="4">
        <v>46108</v>
      </c>
      <c r="E52" s="5" t="s">
        <v>31</v>
      </c>
      <c r="F52" s="6" t="s">
        <v>32</v>
      </c>
      <c r="G52" s="25" t="s">
        <v>13</v>
      </c>
      <c r="H52" s="25" t="str">
        <f>IF(G52="","",VLOOKUP(G52,REFERENCIA!$A$1:$B$14,2,0))</f>
        <v>TIPO A</v>
      </c>
      <c r="I52" s="6" t="s">
        <v>13</v>
      </c>
      <c r="J52" s="6"/>
    </row>
    <row r="53" spans="1:10" x14ac:dyDescent="0.25">
      <c r="A53" s="2" t="s">
        <v>29</v>
      </c>
      <c r="B53" s="3" t="s">
        <v>42</v>
      </c>
      <c r="C53" s="3">
        <v>2288</v>
      </c>
      <c r="D53" s="4">
        <v>46111</v>
      </c>
      <c r="E53" s="5" t="s">
        <v>31</v>
      </c>
      <c r="F53" s="6" t="s">
        <v>74</v>
      </c>
      <c r="G53" s="25" t="s">
        <v>26</v>
      </c>
      <c r="H53" s="25" t="str">
        <f>IF(G53="","",VLOOKUP(G53,REFERENCIA!$A$1:$B$14,2,0))</f>
        <v>TIPO D</v>
      </c>
      <c r="I53" s="32" t="s">
        <v>98</v>
      </c>
      <c r="J53" s="32">
        <v>23.65</v>
      </c>
    </row>
    <row r="54" spans="1:10" x14ac:dyDescent="0.25">
      <c r="A54" s="2" t="s">
        <v>29</v>
      </c>
      <c r="B54" s="3" t="s">
        <v>37</v>
      </c>
      <c r="C54" s="3">
        <v>5893</v>
      </c>
      <c r="D54" s="4">
        <v>46111</v>
      </c>
      <c r="E54" s="5" t="s">
        <v>31</v>
      </c>
      <c r="F54" s="6" t="s">
        <v>45</v>
      </c>
      <c r="G54" s="25" t="s">
        <v>23</v>
      </c>
      <c r="H54" s="25" t="str">
        <f>IF(G54="","",VLOOKUP(G54,REFERENCIA!$A$1:$B$14,2,0))</f>
        <v>TIPO C</v>
      </c>
      <c r="I54" s="26" t="s">
        <v>99</v>
      </c>
      <c r="J54" s="26">
        <v>181.01</v>
      </c>
    </row>
    <row r="55" spans="1:10" x14ac:dyDescent="0.25">
      <c r="H55" t="str">
        <f>IF(G55="","",VLOOKUP(G55,REFERENCIA!$A$1:$B$14,2,0))</f>
        <v/>
      </c>
    </row>
    <row r="56" spans="1:10" x14ac:dyDescent="0.25">
      <c r="H56" t="str">
        <f>IF(G56="","",VLOOKUP(G56,REFERENCIA!$A$1:$B$14,2,0))</f>
        <v/>
      </c>
    </row>
    <row r="57" spans="1:10" x14ac:dyDescent="0.25">
      <c r="H57" t="str">
        <f>IF(G57="","",VLOOKUP(G57,REFERENCIA!$A$1:$B$14,2,0))</f>
        <v/>
      </c>
    </row>
    <row r="58" spans="1:10" x14ac:dyDescent="0.25">
      <c r="H58" t="str">
        <f>IF(G58="","",VLOOKUP(G58,REFERENCIA!$A$1:$B$14,2,0))</f>
        <v/>
      </c>
    </row>
    <row r="59" spans="1:10" x14ac:dyDescent="0.25">
      <c r="H59" t="str">
        <f>IF(G59="","",VLOOKUP(G59,REFERENCIA!$A$1:$B$14,2,0))</f>
        <v/>
      </c>
    </row>
    <row r="60" spans="1:10" x14ac:dyDescent="0.25">
      <c r="H60" t="str">
        <f>IF(G60="","",VLOOKUP(G60,REFERENCIA!$A$1:$B$14,2,0))</f>
        <v/>
      </c>
    </row>
    <row r="61" spans="1:10" x14ac:dyDescent="0.25">
      <c r="H61" t="str">
        <f>IF(G61="","",VLOOKUP(G61,REFERENCIA!$A$1:$B$14,2,0))</f>
        <v/>
      </c>
    </row>
    <row r="62" spans="1:10" x14ac:dyDescent="0.25">
      <c r="H62" t="str">
        <f>IF(G62="","",VLOOKUP(G62,REFERENCIA!$A$1:$B$14,2,0))</f>
        <v/>
      </c>
    </row>
    <row r="63" spans="1:10" x14ac:dyDescent="0.25">
      <c r="H63" t="str">
        <f>IF(G63="","",VLOOKUP(G63,REFERENCIA!$A$1:$B$14,2,0))</f>
        <v/>
      </c>
    </row>
    <row r="64" spans="1:10" x14ac:dyDescent="0.25">
      <c r="H64" t="str">
        <f>IF(G64="","",VLOOKUP(G64,REFERENCIA!$A$1:$B$14,2,0))</f>
        <v/>
      </c>
    </row>
    <row r="65" spans="8:8" x14ac:dyDescent="0.25">
      <c r="H65" t="str">
        <f>IF(G65="","",VLOOKUP(G65,REFERENCIA!$A$1:$B$14,2,0))</f>
        <v/>
      </c>
    </row>
    <row r="66" spans="8:8" x14ac:dyDescent="0.25">
      <c r="H66" t="str">
        <f>IF(G66="","",VLOOKUP(G66,REFERENCIA!$A$1:$B$14,2,0))</f>
        <v/>
      </c>
    </row>
    <row r="67" spans="8:8" x14ac:dyDescent="0.25">
      <c r="H67" t="str">
        <f>IF(G67="","",VLOOKUP(G67,REFERENCIA!$A$1:$B$14,2,0))</f>
        <v/>
      </c>
    </row>
    <row r="68" spans="8:8" x14ac:dyDescent="0.25">
      <c r="H68" t="str">
        <f>IF(G68="","",VLOOKUP(G68,REFERENCIA!$A$1:$B$14,2,0))</f>
        <v/>
      </c>
    </row>
    <row r="69" spans="8:8" x14ac:dyDescent="0.25">
      <c r="H69" t="str">
        <f>IF(G69="","",VLOOKUP(G69,REFERENCIA!$A$1:$B$14,2,0))</f>
        <v/>
      </c>
    </row>
    <row r="70" spans="8:8" x14ac:dyDescent="0.25">
      <c r="H70" t="str">
        <f>IF(G70="","",VLOOKUP(G70,REFERENCIA!$A$1:$B$14,2,0))</f>
        <v/>
      </c>
    </row>
    <row r="71" spans="8:8" x14ac:dyDescent="0.25">
      <c r="H71" t="str">
        <f>IF(G71="","",VLOOKUP(G71,REFERENCIA!$A$1:$B$14,2,0))</f>
        <v/>
      </c>
    </row>
    <row r="72" spans="8:8" x14ac:dyDescent="0.25">
      <c r="H72" t="str">
        <f>IF(G72="","",VLOOKUP(G72,REFERENCIA!$A$1:$B$14,2,0))</f>
        <v/>
      </c>
    </row>
    <row r="73" spans="8:8" x14ac:dyDescent="0.25">
      <c r="H73" t="str">
        <f>IF(G73="","",VLOOKUP(G73,REFERENCIA!$A$1:$B$14,2,0))</f>
        <v/>
      </c>
    </row>
    <row r="74" spans="8:8" x14ac:dyDescent="0.25">
      <c r="H74" t="str">
        <f>IF(G74="","",VLOOKUP(G74,REFERENCIA!$A$1:$B$14,2,0))</f>
        <v/>
      </c>
    </row>
    <row r="75" spans="8:8" x14ac:dyDescent="0.25">
      <c r="H75" t="str">
        <f>IF(G75="","",VLOOKUP(G75,REFERENCIA!$A$1:$B$14,2,0))</f>
        <v/>
      </c>
    </row>
    <row r="76" spans="8:8" x14ac:dyDescent="0.25">
      <c r="H76" t="str">
        <f>IF(G76="","",VLOOKUP(G76,REFERENCIA!$A$1:$B$14,2,0))</f>
        <v/>
      </c>
    </row>
    <row r="77" spans="8:8" x14ac:dyDescent="0.25">
      <c r="H77" t="str">
        <f>IF(G77="","",VLOOKUP(G77,REFERENCIA!$A$1:$B$14,2,0))</f>
        <v/>
      </c>
    </row>
    <row r="78" spans="8:8" x14ac:dyDescent="0.25">
      <c r="H78" t="str">
        <f>IF(G78="","",VLOOKUP(G78,REFERENCIA!$A$1:$B$14,2,0))</f>
        <v/>
      </c>
    </row>
    <row r="79" spans="8:8" x14ac:dyDescent="0.25">
      <c r="H79" t="str">
        <f>IF(G79="","",VLOOKUP(G79,REFERENCIA!$A$1:$B$14,2,0))</f>
        <v/>
      </c>
    </row>
    <row r="80" spans="8:8" x14ac:dyDescent="0.25">
      <c r="H80" t="str">
        <f>IF(G80="","",VLOOKUP(G80,REFERENCIA!$A$1:$B$14,2,0))</f>
        <v/>
      </c>
    </row>
    <row r="81" spans="8:8" x14ac:dyDescent="0.25">
      <c r="H81" t="str">
        <f>IF(G81="","",VLOOKUP(G81,REFERENCIA!$A$1:$B$14,2,0))</f>
        <v/>
      </c>
    </row>
    <row r="82" spans="8:8" x14ac:dyDescent="0.25">
      <c r="H82" t="str">
        <f>IF(G82="","",VLOOKUP(G82,REFERENCIA!$A$1:$B$14,2,0))</f>
        <v/>
      </c>
    </row>
    <row r="83" spans="8:8" x14ac:dyDescent="0.25">
      <c r="H83" t="str">
        <f>IF(G83="","",VLOOKUP(G83,REFERENCIA!$A$1:$B$14,2,0))</f>
        <v/>
      </c>
    </row>
    <row r="84" spans="8:8" x14ac:dyDescent="0.25">
      <c r="H84" t="str">
        <f>IF(G84="","",VLOOKUP(G84,REFERENCIA!$A$1:$B$14,2,0))</f>
        <v/>
      </c>
    </row>
    <row r="85" spans="8:8" x14ac:dyDescent="0.25">
      <c r="H85" t="str">
        <f>IF(G85="","",VLOOKUP(G85,REFERENCIA!$A$1:$B$14,2,0))</f>
        <v/>
      </c>
    </row>
    <row r="86" spans="8:8" x14ac:dyDescent="0.25">
      <c r="H86" t="str">
        <f>IF(G86="","",VLOOKUP(G86,REFERENCIA!$A$1:$B$14,2,0))</f>
        <v/>
      </c>
    </row>
    <row r="87" spans="8:8" x14ac:dyDescent="0.25">
      <c r="H87" t="str">
        <f>IF(G87="","",VLOOKUP(G87,REFERENCIA!$A$1:$B$14,2,0))</f>
        <v/>
      </c>
    </row>
    <row r="88" spans="8:8" x14ac:dyDescent="0.25">
      <c r="H88" t="str">
        <f>IF(G88="","",VLOOKUP(G88,REFERENCIA!$A$1:$B$14,2,0))</f>
        <v/>
      </c>
    </row>
    <row r="89" spans="8:8" x14ac:dyDescent="0.25">
      <c r="H89" t="str">
        <f>IF(G89="","",VLOOKUP(G89,REFERENCIA!$A$1:$B$14,2,0))</f>
        <v/>
      </c>
    </row>
    <row r="90" spans="8:8" x14ac:dyDescent="0.25">
      <c r="H90" t="str">
        <f>IF(G90="","",VLOOKUP(G90,REFERENCIA!$A$1:$B$14,2,0))</f>
        <v/>
      </c>
    </row>
    <row r="91" spans="8:8" x14ac:dyDescent="0.25">
      <c r="H91" t="str">
        <f>IF(G91="","",VLOOKUP(G91,REFERENCIA!$A$1:$B$14,2,0))</f>
        <v/>
      </c>
    </row>
    <row r="92" spans="8:8" x14ac:dyDescent="0.25">
      <c r="H92" t="str">
        <f>IF(G92="","",VLOOKUP(G92,REFERENCIA!$A$1:$B$14,2,0))</f>
        <v/>
      </c>
    </row>
    <row r="93" spans="8:8" x14ac:dyDescent="0.25">
      <c r="H93" t="str">
        <f>IF(G93="","",VLOOKUP(G93,REFERENCIA!$A$1:$B$14,2,0))</f>
        <v/>
      </c>
    </row>
    <row r="94" spans="8:8" x14ac:dyDescent="0.25">
      <c r="H94" t="str">
        <f>IF(G94="","",VLOOKUP(G94,REFERENCIA!$A$1:$B$14,2,0))</f>
        <v/>
      </c>
    </row>
    <row r="95" spans="8:8" x14ac:dyDescent="0.25">
      <c r="H95" t="str">
        <f>IF(G95="","",VLOOKUP(G95,REFERENCIA!$A$1:$B$14,2,0))</f>
        <v/>
      </c>
    </row>
    <row r="96" spans="8:8" x14ac:dyDescent="0.25">
      <c r="H96" t="str">
        <f>IF(G96="","",VLOOKUP(G96,REFERENCIA!$A$1:$B$14,2,0))</f>
        <v/>
      </c>
    </row>
    <row r="97" spans="8:8" x14ac:dyDescent="0.25">
      <c r="H97" t="str">
        <f>IF(G97="","",VLOOKUP(G97,REFERENCIA!$A$1:$B$14,2,0))</f>
        <v/>
      </c>
    </row>
    <row r="98" spans="8:8" x14ac:dyDescent="0.25">
      <c r="H98" t="str">
        <f>IF(G98="","",VLOOKUP(G98,REFERENCIA!$A$1:$B$14,2,0))</f>
        <v/>
      </c>
    </row>
    <row r="99" spans="8:8" x14ac:dyDescent="0.25">
      <c r="H99" t="str">
        <f>IF(G99="","",VLOOKUP(G99,REFERENCIA!$A$1:$B$14,2,0))</f>
        <v/>
      </c>
    </row>
    <row r="100" spans="8:8" x14ac:dyDescent="0.25">
      <c r="H100" t="str">
        <f>IF(G100="","",VLOOKUP(G100,REFERENCIA!$A$1:$B$14,2,0))</f>
        <v/>
      </c>
    </row>
    <row r="101" spans="8:8" x14ac:dyDescent="0.25">
      <c r="H101" t="str">
        <f>IF(G101="","",VLOOKUP(G101,REFERENCIA!$A$1:$B$14,2,0))</f>
        <v/>
      </c>
    </row>
    <row r="102" spans="8:8" x14ac:dyDescent="0.25">
      <c r="H102" t="str">
        <f>IF(G102="","",VLOOKUP(G102,REFERENCIA!$A$1:$B$14,2,0))</f>
        <v/>
      </c>
    </row>
    <row r="103" spans="8:8" x14ac:dyDescent="0.25">
      <c r="H103" t="str">
        <f>IF(G103="","",VLOOKUP(G103,REFERENCIA!$A$1:$B$14,2,0))</f>
        <v/>
      </c>
    </row>
    <row r="104" spans="8:8" x14ac:dyDescent="0.25">
      <c r="H104" t="str">
        <f>IF(G104="","",VLOOKUP(G104,REFERENCIA!$A$1:$B$14,2,0))</f>
        <v/>
      </c>
    </row>
    <row r="105" spans="8:8" x14ac:dyDescent="0.25">
      <c r="H105" t="str">
        <f>IF(G105="","",VLOOKUP(G105,REFERENCIA!$A$1:$B$14,2,0))</f>
        <v/>
      </c>
    </row>
    <row r="106" spans="8:8" x14ac:dyDescent="0.25">
      <c r="H106" t="str">
        <f>IF(G106="","",VLOOKUP(G106,REFERENCIA!$A$1:$B$14,2,0))</f>
        <v/>
      </c>
    </row>
    <row r="107" spans="8:8" x14ac:dyDescent="0.25">
      <c r="H107" t="str">
        <f>IF(G107="","",VLOOKUP(G107,REFERENCIA!$A$1:$B$14,2,0))</f>
        <v/>
      </c>
    </row>
    <row r="108" spans="8:8" x14ac:dyDescent="0.25">
      <c r="H108" t="str">
        <f>IF(G108="","",VLOOKUP(G108,REFERENCIA!$A$1:$B$14,2,0))</f>
        <v/>
      </c>
    </row>
    <row r="109" spans="8:8" x14ac:dyDescent="0.25">
      <c r="H109" t="str">
        <f>IF(G109="","",VLOOKUP(G109,REFERENCIA!$A$1:$B$14,2,0))</f>
        <v/>
      </c>
    </row>
    <row r="110" spans="8:8" x14ac:dyDescent="0.25">
      <c r="H110" t="str">
        <f>IF(G110="","",VLOOKUP(G110,REFERENCIA!$A$1:$B$14,2,0))</f>
        <v/>
      </c>
    </row>
    <row r="111" spans="8:8" x14ac:dyDescent="0.25">
      <c r="H111" t="str">
        <f>IF(G111="","",VLOOKUP(G111,REFERENCIA!$A$1:$B$14,2,0))</f>
        <v/>
      </c>
    </row>
    <row r="112" spans="8:8" x14ac:dyDescent="0.25">
      <c r="H112" t="str">
        <f>IF(G112="","",VLOOKUP(G112,REFERENCIA!$A$1:$B$14,2,0))</f>
        <v/>
      </c>
    </row>
    <row r="113" spans="8:8" x14ac:dyDescent="0.25">
      <c r="H113" t="str">
        <f>IF(G113="","",VLOOKUP(G113,REFERENCIA!$A$1:$B$14,2,0))</f>
        <v/>
      </c>
    </row>
    <row r="114" spans="8:8" x14ac:dyDescent="0.25">
      <c r="H114" t="str">
        <f>IF(G114="","",VLOOKUP(G114,REFERENCIA!$A$1:$B$14,2,0))</f>
        <v/>
      </c>
    </row>
    <row r="115" spans="8:8" x14ac:dyDescent="0.25">
      <c r="H115" t="str">
        <f>IF(G115="","",VLOOKUP(G115,REFERENCIA!$A$1:$B$14,2,0))</f>
        <v/>
      </c>
    </row>
    <row r="116" spans="8:8" x14ac:dyDescent="0.25">
      <c r="H116" t="str">
        <f>IF(G116="","",VLOOKUP(G116,REFERENCIA!$A$1:$B$14,2,0))</f>
        <v/>
      </c>
    </row>
    <row r="117" spans="8:8" x14ac:dyDescent="0.25">
      <c r="H117" t="str">
        <f>IF(G117="","",VLOOKUP(G117,REFERENCIA!$A$1:$B$14,2,0))</f>
        <v/>
      </c>
    </row>
    <row r="118" spans="8:8" x14ac:dyDescent="0.25">
      <c r="H118" t="str">
        <f>IF(G118="","",VLOOKUP(G118,REFERENCIA!$A$1:$B$14,2,0))</f>
        <v/>
      </c>
    </row>
    <row r="119" spans="8:8" x14ac:dyDescent="0.25">
      <c r="H119" t="str">
        <f>IF(G119="","",VLOOKUP(G119,REFERENCIA!$A$1:$B$14,2,0))</f>
        <v/>
      </c>
    </row>
    <row r="120" spans="8:8" x14ac:dyDescent="0.25">
      <c r="H120" t="str">
        <f>IF(G120="","",VLOOKUP(G120,REFERENCIA!$A$1:$B$14,2,0))</f>
        <v/>
      </c>
    </row>
    <row r="121" spans="8:8" x14ac:dyDescent="0.25">
      <c r="H121" t="str">
        <f>IF(G121="","",VLOOKUP(G121,REFERENCIA!$A$1:$B$14,2,0))</f>
        <v/>
      </c>
    </row>
    <row r="122" spans="8:8" x14ac:dyDescent="0.25">
      <c r="H122" t="str">
        <f>IF(G122="","",VLOOKUP(G122,REFERENCIA!$A$1:$B$14,2,0))</f>
        <v/>
      </c>
    </row>
    <row r="123" spans="8:8" x14ac:dyDescent="0.25">
      <c r="H123" t="str">
        <f>IF(G123="","",VLOOKUP(G123,REFERENCIA!$A$1:$B$14,2,0))</f>
        <v/>
      </c>
    </row>
    <row r="124" spans="8:8" x14ac:dyDescent="0.25">
      <c r="H124" t="str">
        <f>IF(G124="","",VLOOKUP(G124,REFERENCIA!$A$1:$B$14,2,0))</f>
        <v/>
      </c>
    </row>
    <row r="125" spans="8:8" x14ac:dyDescent="0.25">
      <c r="H125" t="str">
        <f>IF(G125="","",VLOOKUP(G125,REFERENCIA!$A$1:$B$14,2,0))</f>
        <v/>
      </c>
    </row>
    <row r="126" spans="8:8" x14ac:dyDescent="0.25">
      <c r="H126" t="str">
        <f>IF(G126="","",VLOOKUP(G126,REFERENCIA!$A$1:$B$14,2,0))</f>
        <v/>
      </c>
    </row>
    <row r="127" spans="8:8" x14ac:dyDescent="0.25">
      <c r="H127" t="str">
        <f>IF(G127="","",VLOOKUP(G127,REFERENCIA!$A$1:$B$14,2,0))</f>
        <v/>
      </c>
    </row>
    <row r="128" spans="8:8" x14ac:dyDescent="0.25">
      <c r="H128" t="str">
        <f>IF(G128="","",VLOOKUP(G128,REFERENCIA!$A$1:$B$14,2,0))</f>
        <v/>
      </c>
    </row>
    <row r="129" spans="8:8" x14ac:dyDescent="0.25">
      <c r="H129" t="str">
        <f>IF(G129="","",VLOOKUP(G129,REFERENCIA!$A$1:$B$14,2,0))</f>
        <v/>
      </c>
    </row>
    <row r="130" spans="8:8" x14ac:dyDescent="0.25">
      <c r="H130" t="str">
        <f>IF(G130="","",VLOOKUP(G130,REFERENCIA!$A$1:$B$14,2,0))</f>
        <v/>
      </c>
    </row>
    <row r="131" spans="8:8" x14ac:dyDescent="0.25">
      <c r="H131" t="str">
        <f>IF(G131="","",VLOOKUP(G131,REFERENCIA!$A$1:$B$14,2,0))</f>
        <v/>
      </c>
    </row>
    <row r="132" spans="8:8" x14ac:dyDescent="0.25">
      <c r="H132" t="str">
        <f>IF(G132="","",VLOOKUP(G132,REFERENCIA!$A$1:$B$14,2,0))</f>
        <v/>
      </c>
    </row>
    <row r="133" spans="8:8" x14ac:dyDescent="0.25">
      <c r="H133" t="str">
        <f>IF(G133="","",VLOOKUP(G133,REFERENCIA!$A$1:$B$14,2,0))</f>
        <v/>
      </c>
    </row>
    <row r="134" spans="8:8" x14ac:dyDescent="0.25">
      <c r="H134" t="str">
        <f>IF(G134="","",VLOOKUP(G134,REFERENCIA!$A$1:$B$14,2,0))</f>
        <v/>
      </c>
    </row>
    <row r="135" spans="8:8" x14ac:dyDescent="0.25">
      <c r="H135" t="str">
        <f>IF(G135="","",VLOOKUP(G135,REFERENCIA!$A$1:$B$14,2,0))</f>
        <v/>
      </c>
    </row>
    <row r="136" spans="8:8" x14ac:dyDescent="0.25">
      <c r="H136" t="str">
        <f>IF(G136="","",VLOOKUP(G136,REFERENCIA!$A$1:$B$14,2,0))</f>
        <v/>
      </c>
    </row>
    <row r="137" spans="8:8" x14ac:dyDescent="0.25">
      <c r="H137" t="str">
        <f>IF(G137="","",VLOOKUP(G137,REFERENCIA!$A$1:$B$14,2,0))</f>
        <v/>
      </c>
    </row>
    <row r="138" spans="8:8" x14ac:dyDescent="0.25">
      <c r="H138" t="str">
        <f>IF(G138="","",VLOOKUP(G138,REFERENCIA!$A$1:$B$14,2,0))</f>
        <v/>
      </c>
    </row>
    <row r="139" spans="8:8" x14ac:dyDescent="0.25">
      <c r="H139" t="str">
        <f>IF(G139="","",VLOOKUP(G139,REFERENCIA!$A$1:$B$14,2,0))</f>
        <v/>
      </c>
    </row>
    <row r="140" spans="8:8" x14ac:dyDescent="0.25">
      <c r="H140" t="str">
        <f>IF(G140="","",VLOOKUP(G140,REFERENCIA!$A$1:$B$14,2,0))</f>
        <v/>
      </c>
    </row>
    <row r="141" spans="8:8" x14ac:dyDescent="0.25">
      <c r="H141" t="str">
        <f>IF(G141="","",VLOOKUP(G141,REFERENCIA!$A$1:$B$14,2,0))</f>
        <v/>
      </c>
    </row>
    <row r="142" spans="8:8" x14ac:dyDescent="0.25">
      <c r="H142" t="str">
        <f>IF(G142="","",VLOOKUP(G142,REFERENCIA!$A$1:$B$14,2,0))</f>
        <v/>
      </c>
    </row>
    <row r="143" spans="8:8" x14ac:dyDescent="0.25">
      <c r="H143" t="str">
        <f>IF(G143="","",VLOOKUP(G143,REFERENCIA!$A$1:$B$14,2,0))</f>
        <v/>
      </c>
    </row>
    <row r="144" spans="8:8" x14ac:dyDescent="0.25">
      <c r="H144" t="str">
        <f>IF(G144="","",VLOOKUP(G144,REFERENCIA!$A$1:$B$14,2,0))</f>
        <v/>
      </c>
    </row>
    <row r="145" spans="8:8" x14ac:dyDescent="0.25">
      <c r="H145" t="str">
        <f>IF(G145="","",VLOOKUP(G145,REFERENCIA!$A$1:$B$14,2,0))</f>
        <v/>
      </c>
    </row>
    <row r="146" spans="8:8" x14ac:dyDescent="0.25">
      <c r="H146" t="str">
        <f>IF(G146="","",VLOOKUP(G146,REFERENCIA!$A$1:$B$14,2,0))</f>
        <v/>
      </c>
    </row>
    <row r="147" spans="8:8" x14ac:dyDescent="0.25">
      <c r="H147" t="str">
        <f>IF(G147="","",VLOOKUP(G147,REFERENCIA!$A$1:$B$14,2,0))</f>
        <v/>
      </c>
    </row>
    <row r="148" spans="8:8" x14ac:dyDescent="0.25">
      <c r="H148" t="str">
        <f>IF(G148="","",VLOOKUP(G148,REFERENCIA!$A$1:$B$14,2,0))</f>
        <v/>
      </c>
    </row>
    <row r="149" spans="8:8" x14ac:dyDescent="0.25">
      <c r="H149" t="str">
        <f>IF(G149="","",VLOOKUP(G149,REFERENCIA!$A$1:$B$14,2,0))</f>
        <v/>
      </c>
    </row>
    <row r="150" spans="8:8" x14ac:dyDescent="0.25">
      <c r="H150" t="str">
        <f>IF(G150="","",VLOOKUP(G150,REFERENCIA!$A$1:$B$14,2,0))</f>
        <v/>
      </c>
    </row>
    <row r="151" spans="8:8" x14ac:dyDescent="0.25">
      <c r="H151" t="str">
        <f>IF(G151="","",VLOOKUP(G151,REFERENCIA!$A$1:$B$14,2,0))</f>
        <v/>
      </c>
    </row>
    <row r="152" spans="8:8" x14ac:dyDescent="0.25">
      <c r="H152" t="str">
        <f>IF(G152="","",VLOOKUP(G152,REFERENCIA!$A$1:$B$14,2,0))</f>
        <v/>
      </c>
    </row>
    <row r="153" spans="8:8" x14ac:dyDescent="0.25">
      <c r="H153" t="str">
        <f>IF(G153="","",VLOOKUP(G153,REFERENCIA!$A$1:$B$14,2,0))</f>
        <v/>
      </c>
    </row>
    <row r="154" spans="8:8" x14ac:dyDescent="0.25">
      <c r="H154" t="str">
        <f>IF(G154="","",VLOOKUP(G154,REFERENCIA!$A$1:$B$14,2,0))</f>
        <v/>
      </c>
    </row>
    <row r="155" spans="8:8" x14ac:dyDescent="0.25">
      <c r="H155" t="str">
        <f>IF(G155="","",VLOOKUP(G155,REFERENCIA!$A$1:$B$14,2,0))</f>
        <v/>
      </c>
    </row>
    <row r="156" spans="8:8" x14ac:dyDescent="0.25">
      <c r="H156" t="str">
        <f>IF(G156="","",VLOOKUP(G156,REFERENCIA!$A$1:$B$14,2,0))</f>
        <v/>
      </c>
    </row>
    <row r="157" spans="8:8" x14ac:dyDescent="0.25">
      <c r="H157" t="str">
        <f>IF(G157="","",VLOOKUP(G157,REFERENCIA!$A$1:$B$14,2,0))</f>
        <v/>
      </c>
    </row>
    <row r="158" spans="8:8" x14ac:dyDescent="0.25">
      <c r="H158" t="str">
        <f>IF(G158="","",VLOOKUP(G158,REFERENCIA!$A$1:$B$14,2,0))</f>
        <v/>
      </c>
    </row>
    <row r="159" spans="8:8" x14ac:dyDescent="0.25">
      <c r="H159" t="str">
        <f>IF(G159="","",VLOOKUP(G159,REFERENCIA!$A$1:$B$14,2,0))</f>
        <v/>
      </c>
    </row>
    <row r="160" spans="8:8" x14ac:dyDescent="0.25">
      <c r="H160" t="str">
        <f>IF(G160="","",VLOOKUP(G160,REFERENCIA!$A$1:$B$14,2,0))</f>
        <v/>
      </c>
    </row>
    <row r="161" spans="8:8" x14ac:dyDescent="0.25">
      <c r="H161" t="str">
        <f>IF(G161="","",VLOOKUP(G161,REFERENCIA!$A$1:$B$14,2,0))</f>
        <v/>
      </c>
    </row>
    <row r="162" spans="8:8" x14ac:dyDescent="0.25">
      <c r="H162" t="str">
        <f>IF(G162="","",VLOOKUP(G162,REFERENCIA!$A$1:$B$14,2,0))</f>
        <v/>
      </c>
    </row>
    <row r="163" spans="8:8" x14ac:dyDescent="0.25">
      <c r="H163" t="str">
        <f>IF(G163="","",VLOOKUP(G163,REFERENCIA!$A$1:$B$14,2,0))</f>
        <v/>
      </c>
    </row>
    <row r="164" spans="8:8" x14ac:dyDescent="0.25">
      <c r="H164" t="str">
        <f>IF(G164="","",VLOOKUP(G164,REFERENCIA!$A$1:$B$14,2,0))</f>
        <v/>
      </c>
    </row>
    <row r="165" spans="8:8" x14ac:dyDescent="0.25">
      <c r="H165" t="str">
        <f>IF(G165="","",VLOOKUP(G165,REFERENCIA!$A$1:$B$14,2,0))</f>
        <v/>
      </c>
    </row>
    <row r="166" spans="8:8" x14ac:dyDescent="0.25">
      <c r="H166" t="str">
        <f>IF(G166="","",VLOOKUP(G166,REFERENCIA!$A$1:$B$14,2,0))</f>
        <v/>
      </c>
    </row>
    <row r="167" spans="8:8" x14ac:dyDescent="0.25">
      <c r="H167" t="str">
        <f>IF(G167="","",VLOOKUP(G167,REFERENCIA!$A$1:$B$14,2,0))</f>
        <v/>
      </c>
    </row>
    <row r="168" spans="8:8" x14ac:dyDescent="0.25">
      <c r="H168" t="str">
        <f>IF(G168="","",VLOOKUP(G168,REFERENCIA!$A$1:$B$14,2,0))</f>
        <v/>
      </c>
    </row>
    <row r="169" spans="8:8" x14ac:dyDescent="0.25">
      <c r="H169" t="str">
        <f>IF(G169="","",VLOOKUP(G169,REFERENCIA!$A$1:$B$14,2,0))</f>
        <v/>
      </c>
    </row>
    <row r="170" spans="8:8" x14ac:dyDescent="0.25">
      <c r="H170" t="str">
        <f>IF(G170="","",VLOOKUP(G170,REFERENCIA!$A$1:$B$14,2,0))</f>
        <v/>
      </c>
    </row>
    <row r="171" spans="8:8" x14ac:dyDescent="0.25">
      <c r="H171" t="str">
        <f>IF(G171="","",VLOOKUP(G171,REFERENCIA!$A$1:$B$14,2,0))</f>
        <v/>
      </c>
    </row>
    <row r="172" spans="8:8" x14ac:dyDescent="0.25">
      <c r="H172" t="str">
        <f>IF(G172="","",VLOOKUP(G172,REFERENCIA!$A$1:$B$14,2,0))</f>
        <v/>
      </c>
    </row>
    <row r="173" spans="8:8" x14ac:dyDescent="0.25">
      <c r="H173" t="str">
        <f>IF(G173="","",VLOOKUP(G173,REFERENCIA!$A$1:$B$14,2,0))</f>
        <v/>
      </c>
    </row>
    <row r="174" spans="8:8" x14ac:dyDescent="0.25">
      <c r="H174" t="str">
        <f>IF(G174="","",VLOOKUP(G174,REFERENCIA!$A$1:$B$14,2,0))</f>
        <v/>
      </c>
    </row>
    <row r="175" spans="8:8" x14ac:dyDescent="0.25">
      <c r="H175" t="str">
        <f>IF(G175="","",VLOOKUP(G175,REFERENCIA!$A$1:$B$14,2,0))</f>
        <v/>
      </c>
    </row>
    <row r="176" spans="8:8" x14ac:dyDescent="0.25">
      <c r="H176" t="str">
        <f>IF(G176="","",VLOOKUP(G176,REFERENCIA!$A$1:$B$14,2,0))</f>
        <v/>
      </c>
    </row>
    <row r="177" spans="8:8" x14ac:dyDescent="0.25">
      <c r="H177" t="str">
        <f>IF(G177="","",VLOOKUP(G177,REFERENCIA!$A$1:$B$14,2,0))</f>
        <v/>
      </c>
    </row>
    <row r="178" spans="8:8" x14ac:dyDescent="0.25">
      <c r="H178" t="str">
        <f>IF(G178="","",VLOOKUP(G178,REFERENCIA!$A$1:$B$14,2,0))</f>
        <v/>
      </c>
    </row>
    <row r="179" spans="8:8" x14ac:dyDescent="0.25">
      <c r="H179" t="str">
        <f>IF(G179="","",VLOOKUP(G179,REFERENCIA!$A$1:$B$14,2,0))</f>
        <v/>
      </c>
    </row>
    <row r="180" spans="8:8" x14ac:dyDescent="0.25">
      <c r="H180" t="str">
        <f>IF(G180="","",VLOOKUP(G180,REFERENCIA!$A$1:$B$14,2,0))</f>
        <v/>
      </c>
    </row>
    <row r="181" spans="8:8" x14ac:dyDescent="0.25">
      <c r="H181" t="str">
        <f>IF(G181="","",VLOOKUP(G181,REFERENCIA!$A$1:$B$14,2,0))</f>
        <v/>
      </c>
    </row>
    <row r="182" spans="8:8" x14ac:dyDescent="0.25">
      <c r="H182" t="str">
        <f>IF(G182="","",VLOOKUP(G182,REFERENCIA!$A$1:$B$14,2,0))</f>
        <v/>
      </c>
    </row>
    <row r="183" spans="8:8" x14ac:dyDescent="0.25">
      <c r="H183" t="str">
        <f>IF(G183="","",VLOOKUP(G183,REFERENCIA!$A$1:$B$14,2,0))</f>
        <v/>
      </c>
    </row>
    <row r="184" spans="8:8" x14ac:dyDescent="0.25">
      <c r="H184" t="str">
        <f>IF(G184="","",VLOOKUP(G184,REFERENCIA!$A$1:$B$14,2,0))</f>
        <v/>
      </c>
    </row>
    <row r="185" spans="8:8" x14ac:dyDescent="0.25">
      <c r="H185" t="str">
        <f>IF(G185="","",VLOOKUP(G185,REFERENCIA!$A$1:$B$14,2,0))</f>
        <v/>
      </c>
    </row>
    <row r="186" spans="8:8" x14ac:dyDescent="0.25">
      <c r="H186" t="str">
        <f>IF(G186="","",VLOOKUP(G186,REFERENCIA!$A$1:$B$14,2,0))</f>
        <v/>
      </c>
    </row>
    <row r="187" spans="8:8" x14ac:dyDescent="0.25">
      <c r="H187" t="str">
        <f>IF(G187="","",VLOOKUP(G187,REFERENCIA!$A$1:$B$14,2,0))</f>
        <v/>
      </c>
    </row>
    <row r="188" spans="8:8" x14ac:dyDescent="0.25">
      <c r="H188" t="str">
        <f>IF(G188="","",VLOOKUP(G188,REFERENCIA!$A$1:$B$14,2,0))</f>
        <v/>
      </c>
    </row>
    <row r="189" spans="8:8" x14ac:dyDescent="0.25">
      <c r="H189" t="str">
        <f>IF(G189="","",VLOOKUP(G189,REFERENCIA!$A$1:$B$14,2,0))</f>
        <v/>
      </c>
    </row>
    <row r="190" spans="8:8" x14ac:dyDescent="0.25">
      <c r="H190" t="str">
        <f>IF(G190="","",VLOOKUP(G190,REFERENCIA!$A$1:$B$14,2,0))</f>
        <v/>
      </c>
    </row>
    <row r="191" spans="8:8" x14ac:dyDescent="0.25">
      <c r="H191" t="str">
        <f>IF(G191="","",VLOOKUP(G191,REFERENCIA!$A$1:$B$14,2,0))</f>
        <v/>
      </c>
    </row>
    <row r="192" spans="8:8" x14ac:dyDescent="0.25">
      <c r="H192" t="str">
        <f>IF(G192="","",VLOOKUP(G192,REFERENCIA!$A$1:$B$14,2,0))</f>
        <v/>
      </c>
    </row>
    <row r="193" spans="8:8" x14ac:dyDescent="0.25">
      <c r="H193" t="str">
        <f>IF(G193="","",VLOOKUP(G193,REFERENCIA!$A$1:$B$14,2,0))</f>
        <v/>
      </c>
    </row>
    <row r="194" spans="8:8" x14ac:dyDescent="0.25">
      <c r="H194" t="str">
        <f>IF(G194="","",VLOOKUP(G194,REFERENCIA!$A$1:$B$14,2,0))</f>
        <v/>
      </c>
    </row>
    <row r="195" spans="8:8" x14ac:dyDescent="0.25">
      <c r="H195" t="str">
        <f>IF(G195="","",VLOOKUP(G195,REFERENCIA!$A$1:$B$14,2,0))</f>
        <v/>
      </c>
    </row>
    <row r="196" spans="8:8" x14ac:dyDescent="0.25">
      <c r="H196" t="str">
        <f>IF(G196="","",VLOOKUP(G196,REFERENCIA!$A$1:$B$14,2,0))</f>
        <v/>
      </c>
    </row>
    <row r="197" spans="8:8" x14ac:dyDescent="0.25">
      <c r="H197" t="str">
        <f>IF(G197="","",VLOOKUP(G197,REFERENCIA!$A$1:$B$14,2,0))</f>
        <v/>
      </c>
    </row>
    <row r="198" spans="8:8" x14ac:dyDescent="0.25">
      <c r="H198" t="str">
        <f>IF(G198="","",VLOOKUP(G198,REFERENCIA!$A$1:$B$14,2,0))</f>
        <v/>
      </c>
    </row>
    <row r="199" spans="8:8" x14ac:dyDescent="0.25">
      <c r="H199" t="str">
        <f>IF(G199="","",VLOOKUP(G199,REFERENCIA!$A$1:$B$14,2,0))</f>
        <v/>
      </c>
    </row>
    <row r="200" spans="8:8" x14ac:dyDescent="0.25">
      <c r="H200" t="str">
        <f>IF(G200="","",VLOOKUP(G200,REFERENCIA!$A$1:$B$14,2,0))</f>
        <v/>
      </c>
    </row>
    <row r="201" spans="8:8" x14ac:dyDescent="0.25">
      <c r="H201" t="str">
        <f>IF(G201="","",VLOOKUP(G201,REFERENCIA!$A$1:$B$14,2,0))</f>
        <v/>
      </c>
    </row>
    <row r="202" spans="8:8" x14ac:dyDescent="0.25">
      <c r="H202" t="str">
        <f>IF(G202="","",VLOOKUP(G202,REFERENCIA!$A$1:$B$14,2,0))</f>
        <v/>
      </c>
    </row>
    <row r="203" spans="8:8" x14ac:dyDescent="0.25">
      <c r="H203" t="str">
        <f>IF(G203="","",VLOOKUP(G203,REFERENCIA!$A$1:$B$14,2,0))</f>
        <v/>
      </c>
    </row>
    <row r="204" spans="8:8" x14ac:dyDescent="0.25">
      <c r="H204" t="str">
        <f>IF(G204="","",VLOOKUP(G204,REFERENCIA!$A$1:$B$14,2,0))</f>
        <v/>
      </c>
    </row>
    <row r="205" spans="8:8" x14ac:dyDescent="0.25">
      <c r="H205" t="str">
        <f>IF(G205="","",VLOOKUP(G205,REFERENCIA!$A$1:$B$14,2,0))</f>
        <v/>
      </c>
    </row>
    <row r="206" spans="8:8" x14ac:dyDescent="0.25">
      <c r="H206" t="str">
        <f>IF(G206="","",VLOOKUP(G206,REFERENCIA!$A$1:$B$14,2,0))</f>
        <v/>
      </c>
    </row>
    <row r="207" spans="8:8" x14ac:dyDescent="0.25">
      <c r="H207" t="str">
        <f>IF(G207="","",VLOOKUP(G207,REFERENCIA!$A$1:$B$14,2,0))</f>
        <v/>
      </c>
    </row>
    <row r="208" spans="8:8" x14ac:dyDescent="0.25">
      <c r="H208" t="str">
        <f>IF(G208="","",VLOOKUP(G208,REFERENCIA!$A$1:$B$14,2,0))</f>
        <v/>
      </c>
    </row>
    <row r="209" spans="8:8" x14ac:dyDescent="0.25">
      <c r="H209" t="str">
        <f>IF(G209="","",VLOOKUP(G209,REFERENCIA!$A$1:$B$14,2,0))</f>
        <v/>
      </c>
    </row>
    <row r="210" spans="8:8" x14ac:dyDescent="0.25">
      <c r="H210" t="str">
        <f>IF(G210="","",VLOOKUP(G210,REFERENCIA!$A$1:$B$14,2,0))</f>
        <v/>
      </c>
    </row>
    <row r="211" spans="8:8" x14ac:dyDescent="0.25">
      <c r="H211" t="str">
        <f>IF(G211="","",VLOOKUP(G211,REFERENCIA!$A$1:$B$14,2,0))</f>
        <v/>
      </c>
    </row>
    <row r="212" spans="8:8" x14ac:dyDescent="0.25">
      <c r="H212" t="str">
        <f>IF(G212="","",VLOOKUP(G212,REFERENCIA!$A$1:$B$14,2,0))</f>
        <v/>
      </c>
    </row>
    <row r="213" spans="8:8" x14ac:dyDescent="0.25">
      <c r="H213" t="str">
        <f>IF(G213="","",VLOOKUP(G213,REFERENCIA!$A$1:$B$14,2,0))</f>
        <v/>
      </c>
    </row>
    <row r="214" spans="8:8" x14ac:dyDescent="0.25">
      <c r="H214" t="str">
        <f>IF(G214="","",VLOOKUP(G214,REFERENCIA!$A$1:$B$14,2,0))</f>
        <v/>
      </c>
    </row>
    <row r="215" spans="8:8" x14ac:dyDescent="0.25">
      <c r="H215" t="str">
        <f>IF(G215="","",VLOOKUP(G215,REFERENCIA!$A$1:$B$14,2,0))</f>
        <v/>
      </c>
    </row>
    <row r="216" spans="8:8" x14ac:dyDescent="0.25">
      <c r="H216" t="str">
        <f>IF(G216="","",VLOOKUP(G216,REFERENCIA!$A$1:$B$14,2,0))</f>
        <v/>
      </c>
    </row>
    <row r="217" spans="8:8" x14ac:dyDescent="0.25">
      <c r="H217" t="str">
        <f>IF(G217="","",VLOOKUP(G217,REFERENCIA!$A$1:$B$14,2,0))</f>
        <v/>
      </c>
    </row>
    <row r="218" spans="8:8" x14ac:dyDescent="0.25">
      <c r="H218" t="str">
        <f>IF(G218="","",VLOOKUP(G218,REFERENCIA!$A$1:$B$14,2,0))</f>
        <v/>
      </c>
    </row>
    <row r="219" spans="8:8" x14ac:dyDescent="0.25">
      <c r="H219" t="str">
        <f>IF(G219="","",VLOOKUP(G219,REFERENCIA!$A$1:$B$14,2,0))</f>
        <v/>
      </c>
    </row>
    <row r="220" spans="8:8" x14ac:dyDescent="0.25">
      <c r="H220" t="str">
        <f>IF(G220="","",VLOOKUP(G220,REFERENCIA!$A$1:$B$14,2,0))</f>
        <v/>
      </c>
    </row>
    <row r="221" spans="8:8" x14ac:dyDescent="0.25">
      <c r="H221" t="str">
        <f>IF(G221="","",VLOOKUP(G221,REFERENCIA!$A$1:$B$14,2,0))</f>
        <v/>
      </c>
    </row>
    <row r="222" spans="8:8" x14ac:dyDescent="0.25">
      <c r="H222" t="str">
        <f>IF(G222="","",VLOOKUP(G222,REFERENCIA!$A$1:$B$14,2,0))</f>
        <v/>
      </c>
    </row>
    <row r="223" spans="8:8" x14ac:dyDescent="0.25">
      <c r="H223" t="str">
        <f>IF(G223="","",VLOOKUP(G223,REFERENCIA!$A$1:$B$14,2,0))</f>
        <v/>
      </c>
    </row>
    <row r="224" spans="8:8" x14ac:dyDescent="0.25">
      <c r="H224" t="str">
        <f>IF(G224="","",VLOOKUP(G224,REFERENCIA!$A$1:$B$14,2,0))</f>
        <v/>
      </c>
    </row>
    <row r="225" spans="8:8" x14ac:dyDescent="0.25">
      <c r="H225" t="str">
        <f>IF(G225="","",VLOOKUP(G225,REFERENCIA!$A$1:$B$14,2,0))</f>
        <v/>
      </c>
    </row>
    <row r="226" spans="8:8" x14ac:dyDescent="0.25">
      <c r="H226" t="str">
        <f>IF(G226="","",VLOOKUP(G226,REFERENCIA!$A$1:$B$14,2,0))</f>
        <v/>
      </c>
    </row>
    <row r="227" spans="8:8" x14ac:dyDescent="0.25">
      <c r="H227" t="str">
        <f>IF(G227="","",VLOOKUP(G227,REFERENCIA!$A$1:$B$14,2,0))</f>
        <v/>
      </c>
    </row>
    <row r="228" spans="8:8" x14ac:dyDescent="0.25">
      <c r="H228" t="str">
        <f>IF(G228="","",VLOOKUP(G228,REFERENCIA!$A$1:$B$14,2,0))</f>
        <v/>
      </c>
    </row>
    <row r="229" spans="8:8" x14ac:dyDescent="0.25">
      <c r="H229" t="str">
        <f>IF(G229="","",VLOOKUP(G229,REFERENCIA!$A$1:$B$14,2,0))</f>
        <v/>
      </c>
    </row>
    <row r="230" spans="8:8" x14ac:dyDescent="0.25">
      <c r="H230" t="str">
        <f>IF(G230="","",VLOOKUP(G230,REFERENCIA!$A$1:$B$14,2,0))</f>
        <v/>
      </c>
    </row>
    <row r="231" spans="8:8" x14ac:dyDescent="0.25">
      <c r="H231" t="str">
        <f>IF(G231="","",VLOOKUP(G231,REFERENCIA!$A$1:$B$14,2,0))</f>
        <v/>
      </c>
    </row>
    <row r="232" spans="8:8" x14ac:dyDescent="0.25">
      <c r="H232" t="str">
        <f>IF(G232="","",VLOOKUP(G232,REFERENCIA!$A$1:$B$14,2,0))</f>
        <v/>
      </c>
    </row>
    <row r="233" spans="8:8" x14ac:dyDescent="0.25">
      <c r="H233" t="str">
        <f>IF(G233="","",VLOOKUP(G233,REFERENCIA!$A$1:$B$14,2,0))</f>
        <v/>
      </c>
    </row>
    <row r="234" spans="8:8" x14ac:dyDescent="0.25">
      <c r="H234" t="str">
        <f>IF(G234="","",VLOOKUP(G234,REFERENCIA!$A$1:$B$14,2,0))</f>
        <v/>
      </c>
    </row>
    <row r="235" spans="8:8" x14ac:dyDescent="0.25">
      <c r="H235" t="str">
        <f>IF(G235="","",VLOOKUP(G235,REFERENCIA!$A$1:$B$14,2,0))</f>
        <v/>
      </c>
    </row>
    <row r="236" spans="8:8" x14ac:dyDescent="0.25">
      <c r="H236" t="str">
        <f>IF(G236="","",VLOOKUP(G236,REFERENCIA!$A$1:$B$14,2,0))</f>
        <v/>
      </c>
    </row>
    <row r="237" spans="8:8" x14ac:dyDescent="0.25">
      <c r="H237" t="str">
        <f>IF(G237="","",VLOOKUP(G237,REFERENCIA!$A$1:$B$14,2,0))</f>
        <v/>
      </c>
    </row>
    <row r="238" spans="8:8" x14ac:dyDescent="0.25">
      <c r="H238" t="str">
        <f>IF(G238="","",VLOOKUP(G238,REFERENCIA!$A$1:$B$14,2,0))</f>
        <v/>
      </c>
    </row>
    <row r="239" spans="8:8" x14ac:dyDescent="0.25">
      <c r="H239" t="str">
        <f>IF(G239="","",VLOOKUP(G239,REFERENCIA!$A$1:$B$14,2,0))</f>
        <v/>
      </c>
    </row>
    <row r="240" spans="8:8" x14ac:dyDescent="0.25">
      <c r="H240" t="str">
        <f>IF(G240="","",VLOOKUP(G240,REFERENCIA!$A$1:$B$14,2,0))</f>
        <v/>
      </c>
    </row>
    <row r="241" spans="8:8" x14ac:dyDescent="0.25">
      <c r="H241" t="str">
        <f>IF(G241="","",VLOOKUP(G241,REFERENCIA!$A$1:$B$14,2,0))</f>
        <v/>
      </c>
    </row>
    <row r="242" spans="8:8" x14ac:dyDescent="0.25">
      <c r="H242" t="str">
        <f>IF(G242="","",VLOOKUP(G242,REFERENCIA!$A$1:$B$14,2,0))</f>
        <v/>
      </c>
    </row>
    <row r="243" spans="8:8" x14ac:dyDescent="0.25">
      <c r="H243" t="str">
        <f>IF(G243="","",VLOOKUP(G243,REFERENCIA!$A$1:$B$14,2,0))</f>
        <v/>
      </c>
    </row>
    <row r="244" spans="8:8" x14ac:dyDescent="0.25">
      <c r="H244" t="str">
        <f>IF(G244="","",VLOOKUP(G244,REFERENCIA!$A$1:$B$14,2,0))</f>
        <v/>
      </c>
    </row>
    <row r="245" spans="8:8" x14ac:dyDescent="0.25">
      <c r="H245" t="str">
        <f>IF(G245="","",VLOOKUP(G245,REFERENCIA!$A$1:$B$14,2,0))</f>
        <v/>
      </c>
    </row>
    <row r="246" spans="8:8" x14ac:dyDescent="0.25">
      <c r="H246" t="str">
        <f>IF(G246="","",VLOOKUP(G246,REFERENCIA!$A$1:$B$14,2,0))</f>
        <v/>
      </c>
    </row>
    <row r="247" spans="8:8" x14ac:dyDescent="0.25">
      <c r="H247" t="str">
        <f>IF(G247="","",VLOOKUP(G247,REFERENCIA!$A$1:$B$14,2,0))</f>
        <v/>
      </c>
    </row>
    <row r="248" spans="8:8" x14ac:dyDescent="0.25">
      <c r="H248" t="str">
        <f>IF(G248="","",VLOOKUP(G248,REFERENCIA!$A$1:$B$14,2,0))</f>
        <v/>
      </c>
    </row>
    <row r="249" spans="8:8" x14ac:dyDescent="0.25">
      <c r="H249" t="str">
        <f>IF(G249="","",VLOOKUP(G249,REFERENCIA!$A$1:$B$14,2,0))</f>
        <v/>
      </c>
    </row>
    <row r="250" spans="8:8" x14ac:dyDescent="0.25">
      <c r="H250" t="str">
        <f>IF(G250="","",VLOOKUP(G250,REFERENCIA!$A$1:$B$14,2,0))</f>
        <v/>
      </c>
    </row>
    <row r="251" spans="8:8" x14ac:dyDescent="0.25">
      <c r="H251" t="str">
        <f>IF(G251="","",VLOOKUP(G251,REFERENCIA!$A$1:$B$14,2,0))</f>
        <v/>
      </c>
    </row>
    <row r="252" spans="8:8" x14ac:dyDescent="0.25">
      <c r="H252" t="str">
        <f>IF(G252="","",VLOOKUP(G252,REFERENCIA!$A$1:$B$14,2,0))</f>
        <v/>
      </c>
    </row>
    <row r="253" spans="8:8" x14ac:dyDescent="0.25">
      <c r="H253" t="str">
        <f>IF(G253="","",VLOOKUP(G253,REFERENCIA!$A$1:$B$14,2,0))</f>
        <v/>
      </c>
    </row>
    <row r="254" spans="8:8" x14ac:dyDescent="0.25">
      <c r="H254" t="str">
        <f>IF(G254="","",VLOOKUP(G254,REFERENCIA!$A$1:$B$14,2,0))</f>
        <v/>
      </c>
    </row>
    <row r="255" spans="8:8" x14ac:dyDescent="0.25">
      <c r="H255" t="str">
        <f>IF(G255="","",VLOOKUP(G255,REFERENCIA!$A$1:$B$14,2,0))</f>
        <v/>
      </c>
    </row>
    <row r="256" spans="8:8" x14ac:dyDescent="0.25">
      <c r="H256" t="str">
        <f>IF(G256="","",VLOOKUP(G256,REFERENCIA!$A$1:$B$14,2,0))</f>
        <v/>
      </c>
    </row>
    <row r="257" spans="8:8" x14ac:dyDescent="0.25">
      <c r="H257" t="str">
        <f>IF(G257="","",VLOOKUP(G257,REFERENCIA!$A$1:$B$14,2,0))</f>
        <v/>
      </c>
    </row>
    <row r="258" spans="8:8" x14ac:dyDescent="0.25">
      <c r="H258" t="str">
        <f>IF(G258="","",VLOOKUP(G258,REFERENCIA!$A$1:$B$14,2,0))</f>
        <v/>
      </c>
    </row>
    <row r="259" spans="8:8" x14ac:dyDescent="0.25">
      <c r="H259" t="str">
        <f>IF(G259="","",VLOOKUP(G259,REFERENCIA!$A$1:$B$14,2,0))</f>
        <v/>
      </c>
    </row>
    <row r="260" spans="8:8" x14ac:dyDescent="0.25">
      <c r="H260" t="str">
        <f>IF(G260="","",VLOOKUP(G260,REFERENCIA!$A$1:$B$14,2,0))</f>
        <v/>
      </c>
    </row>
    <row r="261" spans="8:8" x14ac:dyDescent="0.25">
      <c r="H261" t="str">
        <f>IF(G261="","",VLOOKUP(G261,REFERENCIA!$A$1:$B$14,2,0))</f>
        <v/>
      </c>
    </row>
    <row r="262" spans="8:8" x14ac:dyDescent="0.25">
      <c r="H262" t="str">
        <f>IF(G262="","",VLOOKUP(G262,REFERENCIA!$A$1:$B$14,2,0))</f>
        <v/>
      </c>
    </row>
    <row r="263" spans="8:8" x14ac:dyDescent="0.25">
      <c r="H263" t="str">
        <f>IF(G263="","",VLOOKUP(G263,REFERENCIA!$A$1:$B$14,2,0))</f>
        <v/>
      </c>
    </row>
    <row r="264" spans="8:8" x14ac:dyDescent="0.25">
      <c r="H264" t="str">
        <f>IF(G264="","",VLOOKUP(G264,REFERENCIA!$A$1:$B$14,2,0))</f>
        <v/>
      </c>
    </row>
    <row r="265" spans="8:8" x14ac:dyDescent="0.25">
      <c r="H265" t="str">
        <f>IF(G265="","",VLOOKUP(G265,REFERENCIA!$A$1:$B$14,2,0))</f>
        <v/>
      </c>
    </row>
    <row r="266" spans="8:8" x14ac:dyDescent="0.25">
      <c r="H266" t="str">
        <f>IF(G266="","",VLOOKUP(G266,REFERENCIA!$A$1:$B$14,2,0))</f>
        <v/>
      </c>
    </row>
    <row r="267" spans="8:8" x14ac:dyDescent="0.25">
      <c r="H267" t="str">
        <f>IF(G267="","",VLOOKUP(G267,REFERENCIA!$A$1:$B$14,2,0))</f>
        <v/>
      </c>
    </row>
    <row r="268" spans="8:8" x14ac:dyDescent="0.25">
      <c r="H268" t="str">
        <f>IF(G268="","",VLOOKUP(G268,REFERENCIA!$A$1:$B$14,2,0))</f>
        <v/>
      </c>
    </row>
    <row r="269" spans="8:8" x14ac:dyDescent="0.25">
      <c r="H269" t="str">
        <f>IF(G269="","",VLOOKUP(G269,REFERENCIA!$A$1:$B$14,2,0))</f>
        <v/>
      </c>
    </row>
    <row r="270" spans="8:8" x14ac:dyDescent="0.25">
      <c r="H270" t="str">
        <f>IF(G270="","",VLOOKUP(G270,REFERENCIA!$A$1:$B$14,2,0))</f>
        <v/>
      </c>
    </row>
    <row r="271" spans="8:8" x14ac:dyDescent="0.25">
      <c r="H271" t="str">
        <f>IF(G271="","",VLOOKUP(G271,REFERENCIA!$A$1:$B$14,2,0))</f>
        <v/>
      </c>
    </row>
    <row r="272" spans="8:8" x14ac:dyDescent="0.25">
      <c r="H272" t="str">
        <f>IF(G272="","",VLOOKUP(G272,REFERENCIA!$A$1:$B$14,2,0))</f>
        <v/>
      </c>
    </row>
    <row r="273" spans="8:8" x14ac:dyDescent="0.25">
      <c r="H273" t="str">
        <f>IF(G273="","",VLOOKUP(G273,REFERENCIA!$A$1:$B$14,2,0))</f>
        <v/>
      </c>
    </row>
    <row r="274" spans="8:8" x14ac:dyDescent="0.25">
      <c r="H274" t="str">
        <f>IF(G274="","",VLOOKUP(G274,REFERENCIA!$A$1:$B$14,2,0))</f>
        <v/>
      </c>
    </row>
    <row r="275" spans="8:8" x14ac:dyDescent="0.25">
      <c r="H275" t="str">
        <f>IF(G275="","",VLOOKUP(G275,REFERENCIA!$A$1:$B$14,2,0))</f>
        <v/>
      </c>
    </row>
    <row r="276" spans="8:8" x14ac:dyDescent="0.25">
      <c r="H276" t="str">
        <f>IF(G276="","",VLOOKUP(G276,REFERENCIA!$A$1:$B$14,2,0))</f>
        <v/>
      </c>
    </row>
    <row r="277" spans="8:8" x14ac:dyDescent="0.25">
      <c r="H277" t="str">
        <f>IF(G277="","",VLOOKUP(G277,REFERENCIA!$A$1:$B$14,2,0))</f>
        <v/>
      </c>
    </row>
    <row r="278" spans="8:8" x14ac:dyDescent="0.25">
      <c r="H278" t="str">
        <f>IF(G278="","",VLOOKUP(G278,REFERENCIA!$A$1:$B$14,2,0))</f>
        <v/>
      </c>
    </row>
    <row r="279" spans="8:8" x14ac:dyDescent="0.25">
      <c r="H279" t="str">
        <f>IF(G279="","",VLOOKUP(G279,REFERENCIA!$A$1:$B$14,2,0))</f>
        <v/>
      </c>
    </row>
    <row r="280" spans="8:8" x14ac:dyDescent="0.25">
      <c r="H280" t="str">
        <f>IF(G280="","",VLOOKUP(G280,REFERENCIA!$A$1:$B$14,2,0))</f>
        <v/>
      </c>
    </row>
    <row r="281" spans="8:8" x14ac:dyDescent="0.25">
      <c r="H281" t="str">
        <f>IF(G281="","",VLOOKUP(G281,REFERENCIA!$A$1:$B$14,2,0))</f>
        <v/>
      </c>
    </row>
    <row r="282" spans="8:8" x14ac:dyDescent="0.25">
      <c r="H282" t="str">
        <f>IF(G282="","",VLOOKUP(G282,REFERENCIA!$A$1:$B$14,2,0))</f>
        <v/>
      </c>
    </row>
    <row r="283" spans="8:8" x14ac:dyDescent="0.25">
      <c r="H283" t="str">
        <f>IF(G283="","",VLOOKUP(G283,REFERENCIA!$A$1:$B$14,2,0))</f>
        <v/>
      </c>
    </row>
    <row r="284" spans="8:8" x14ac:dyDescent="0.25">
      <c r="H284" t="str">
        <f>IF(G284="","",VLOOKUP(G284,REFERENCIA!$A$1:$B$14,2,0))</f>
        <v/>
      </c>
    </row>
    <row r="285" spans="8:8" x14ac:dyDescent="0.25">
      <c r="H285" t="str">
        <f>IF(G285="","",VLOOKUP(G285,REFERENCIA!$A$1:$B$14,2,0))</f>
        <v/>
      </c>
    </row>
    <row r="286" spans="8:8" x14ac:dyDescent="0.25">
      <c r="H286" t="str">
        <f>IF(G286="","",VLOOKUP(G286,REFERENCIA!$A$1:$B$14,2,0))</f>
        <v/>
      </c>
    </row>
    <row r="287" spans="8:8" x14ac:dyDescent="0.25">
      <c r="H287" t="str">
        <f>IF(G287="","",VLOOKUP(G287,REFERENCIA!$A$1:$B$14,2,0))</f>
        <v/>
      </c>
    </row>
    <row r="288" spans="8:8" x14ac:dyDescent="0.25">
      <c r="H288" t="str">
        <f>IF(G288="","",VLOOKUP(G288,REFERENCIA!$A$1:$B$14,2,0))</f>
        <v/>
      </c>
    </row>
    <row r="289" spans="8:8" x14ac:dyDescent="0.25">
      <c r="H289" t="str">
        <f>IF(G289="","",VLOOKUP(G289,REFERENCIA!$A$1:$B$14,2,0))</f>
        <v/>
      </c>
    </row>
    <row r="290" spans="8:8" x14ac:dyDescent="0.25">
      <c r="H290" t="str">
        <f>IF(G290="","",VLOOKUP(G290,REFERENCIA!$A$1:$B$14,2,0))</f>
        <v/>
      </c>
    </row>
    <row r="291" spans="8:8" x14ac:dyDescent="0.25">
      <c r="H291" t="str">
        <f>IF(G291="","",VLOOKUP(G291,REFERENCIA!$A$1:$B$14,2,0))</f>
        <v/>
      </c>
    </row>
    <row r="292" spans="8:8" x14ac:dyDescent="0.25">
      <c r="H292" t="str">
        <f>IF(G292="","",VLOOKUP(G292,REFERENCIA!$A$1:$B$14,2,0))</f>
        <v/>
      </c>
    </row>
    <row r="293" spans="8:8" x14ac:dyDescent="0.25">
      <c r="H293" t="str">
        <f>IF(G293="","",VLOOKUP(G293,REFERENCIA!$A$1:$B$14,2,0))</f>
        <v/>
      </c>
    </row>
    <row r="294" spans="8:8" x14ac:dyDescent="0.25">
      <c r="H294" t="str">
        <f>IF(G294="","",VLOOKUP(G294,REFERENCIA!$A$1:$B$14,2,0))</f>
        <v/>
      </c>
    </row>
    <row r="295" spans="8:8" x14ac:dyDescent="0.25">
      <c r="H295" t="str">
        <f>IF(G295="","",VLOOKUP(G295,REFERENCIA!$A$1:$B$14,2,0))</f>
        <v/>
      </c>
    </row>
    <row r="296" spans="8:8" x14ac:dyDescent="0.25">
      <c r="H296" t="str">
        <f>IF(G296="","",VLOOKUP(G296,REFERENCIA!$A$1:$B$14,2,0))</f>
        <v/>
      </c>
    </row>
    <row r="297" spans="8:8" x14ac:dyDescent="0.25">
      <c r="H297" t="str">
        <f>IF(G297="","",VLOOKUP(G297,REFERENCIA!$A$1:$B$14,2,0))</f>
        <v/>
      </c>
    </row>
    <row r="298" spans="8:8" x14ac:dyDescent="0.25">
      <c r="H298" t="str">
        <f>IF(G298="","",VLOOKUP(G298,REFERENCIA!$A$1:$B$14,2,0))</f>
        <v/>
      </c>
    </row>
    <row r="299" spans="8:8" x14ac:dyDescent="0.25">
      <c r="H299" t="str">
        <f>IF(G299="","",VLOOKUP(G299,REFERENCIA!$A$1:$B$14,2,0))</f>
        <v/>
      </c>
    </row>
    <row r="300" spans="8:8" x14ac:dyDescent="0.25">
      <c r="H300" t="str">
        <f>IF(G300="","",VLOOKUP(G300,REFERENCIA!$A$1:$B$14,2,0))</f>
        <v/>
      </c>
    </row>
    <row r="301" spans="8:8" x14ac:dyDescent="0.25">
      <c r="H301" t="str">
        <f>IF(G301="","",VLOOKUP(G301,REFERENCIA!$A$1:$B$14,2,0))</f>
        <v/>
      </c>
    </row>
    <row r="302" spans="8:8" x14ac:dyDescent="0.25">
      <c r="H302" t="str">
        <f>IF(G302="","",VLOOKUP(G302,REFERENCIA!$A$1:$B$14,2,0))</f>
        <v/>
      </c>
    </row>
    <row r="303" spans="8:8" x14ac:dyDescent="0.25">
      <c r="H303" t="str">
        <f>IF(G303="","",VLOOKUP(G303,REFERENCIA!$A$1:$B$14,2,0))</f>
        <v/>
      </c>
    </row>
    <row r="304" spans="8:8" x14ac:dyDescent="0.25">
      <c r="H304" t="str">
        <f>IF(G304="","",VLOOKUP(G304,REFERENCIA!$A$1:$B$14,2,0))</f>
        <v/>
      </c>
    </row>
    <row r="305" spans="8:8" x14ac:dyDescent="0.25">
      <c r="H305" t="str">
        <f>IF(G305="","",VLOOKUP(G305,REFERENCIA!$A$1:$B$14,2,0))</f>
        <v/>
      </c>
    </row>
    <row r="306" spans="8:8" x14ac:dyDescent="0.25">
      <c r="H306" t="str">
        <f>IF(G306="","",VLOOKUP(G306,REFERENCIA!$A$1:$B$14,2,0))</f>
        <v/>
      </c>
    </row>
    <row r="307" spans="8:8" x14ac:dyDescent="0.25">
      <c r="H307" t="str">
        <f>IF(G307="","",VLOOKUP(G307,REFERENCIA!$A$1:$B$14,2,0))</f>
        <v/>
      </c>
    </row>
    <row r="308" spans="8:8" x14ac:dyDescent="0.25">
      <c r="H308" t="str">
        <f>IF(G308="","",VLOOKUP(G308,REFERENCIA!$A$1:$B$14,2,0))</f>
        <v/>
      </c>
    </row>
    <row r="309" spans="8:8" x14ac:dyDescent="0.25">
      <c r="H309" t="str">
        <f>IF(G309="","",VLOOKUP(G309,REFERENCIA!$A$1:$B$14,2,0))</f>
        <v/>
      </c>
    </row>
    <row r="310" spans="8:8" x14ac:dyDescent="0.25">
      <c r="H310" t="str">
        <f>IF(G310="","",VLOOKUP(G310,REFERENCIA!$A$1:$B$14,2,0))</f>
        <v/>
      </c>
    </row>
    <row r="311" spans="8:8" x14ac:dyDescent="0.25">
      <c r="H311" t="str">
        <f>IF(G311="","",VLOOKUP(G311,REFERENCIA!$A$1:$B$14,2,0))</f>
        <v/>
      </c>
    </row>
    <row r="312" spans="8:8" x14ac:dyDescent="0.25">
      <c r="H312" t="str">
        <f>IF(G312="","",VLOOKUP(G312,REFERENCIA!$A$1:$B$14,2,0))</f>
        <v/>
      </c>
    </row>
    <row r="313" spans="8:8" x14ac:dyDescent="0.25">
      <c r="H313" t="str">
        <f>IF(G313="","",VLOOKUP(G313,REFERENCIA!$A$1:$B$14,2,0))</f>
        <v/>
      </c>
    </row>
    <row r="314" spans="8:8" x14ac:dyDescent="0.25">
      <c r="H314" t="str">
        <f>IF(G314="","",VLOOKUP(G314,REFERENCIA!$A$1:$B$14,2,0))</f>
        <v/>
      </c>
    </row>
    <row r="315" spans="8:8" x14ac:dyDescent="0.25">
      <c r="H315" t="str">
        <f>IF(G315="","",VLOOKUP(G315,REFERENCIA!$A$1:$B$14,2,0))</f>
        <v/>
      </c>
    </row>
    <row r="316" spans="8:8" x14ac:dyDescent="0.25">
      <c r="H316" t="str">
        <f>IF(G316="","",VLOOKUP(G316,REFERENCIA!$A$1:$B$14,2,0))</f>
        <v/>
      </c>
    </row>
    <row r="317" spans="8:8" x14ac:dyDescent="0.25">
      <c r="H317" t="str">
        <f>IF(G317="","",VLOOKUP(G317,REFERENCIA!$A$1:$B$14,2,0))</f>
        <v/>
      </c>
    </row>
    <row r="318" spans="8:8" x14ac:dyDescent="0.25">
      <c r="H318" t="str">
        <f>IF(G318="","",VLOOKUP(G318,REFERENCIA!$A$1:$B$14,2,0))</f>
        <v/>
      </c>
    </row>
    <row r="319" spans="8:8" x14ac:dyDescent="0.25">
      <c r="H319" t="str">
        <f>IF(G319="","",VLOOKUP(G319,REFERENCIA!$A$1:$B$14,2,0))</f>
        <v/>
      </c>
    </row>
    <row r="320" spans="8:8" x14ac:dyDescent="0.25">
      <c r="H320" t="str">
        <f>IF(G320="","",VLOOKUP(G320,REFERENCIA!$A$1:$B$14,2,0))</f>
        <v/>
      </c>
    </row>
    <row r="321" spans="8:8" x14ac:dyDescent="0.25">
      <c r="H321" t="str">
        <f>IF(G321="","",VLOOKUP(G321,REFERENCIA!$A$1:$B$14,2,0))</f>
        <v/>
      </c>
    </row>
    <row r="322" spans="8:8" x14ac:dyDescent="0.25">
      <c r="H322" t="str">
        <f>IF(G322="","",VLOOKUP(G322,REFERENCIA!$A$1:$B$14,2,0))</f>
        <v/>
      </c>
    </row>
    <row r="323" spans="8:8" x14ac:dyDescent="0.25">
      <c r="H323" t="str">
        <f>IF(G323="","",VLOOKUP(G323,REFERENCIA!$A$1:$B$14,2,0))</f>
        <v/>
      </c>
    </row>
    <row r="324" spans="8:8" x14ac:dyDescent="0.25">
      <c r="H324" t="str">
        <f>IF(G324="","",VLOOKUP(G324,REFERENCIA!$A$1:$B$14,2,0))</f>
        <v/>
      </c>
    </row>
    <row r="325" spans="8:8" x14ac:dyDescent="0.25">
      <c r="H325" t="str">
        <f>IF(G325="","",VLOOKUP(G325,REFERENCIA!$A$1:$B$14,2,0))</f>
        <v/>
      </c>
    </row>
    <row r="326" spans="8:8" x14ac:dyDescent="0.25">
      <c r="H326" t="str">
        <f>IF(G326="","",VLOOKUP(G326,REFERENCIA!$A$1:$B$14,2,0))</f>
        <v/>
      </c>
    </row>
    <row r="327" spans="8:8" x14ac:dyDescent="0.25">
      <c r="H327" t="str">
        <f>IF(G327="","",VLOOKUP(G327,REFERENCIA!$A$1:$B$14,2,0))</f>
        <v/>
      </c>
    </row>
    <row r="328" spans="8:8" x14ac:dyDescent="0.25">
      <c r="H328" t="str">
        <f>IF(G328="","",VLOOKUP(G328,REFERENCIA!$A$1:$B$14,2,0))</f>
        <v/>
      </c>
    </row>
    <row r="329" spans="8:8" x14ac:dyDescent="0.25">
      <c r="H329" t="str">
        <f>IF(G329="","",VLOOKUP(G329,REFERENCIA!$A$1:$B$14,2,0))</f>
        <v/>
      </c>
    </row>
    <row r="330" spans="8:8" x14ac:dyDescent="0.25">
      <c r="H330" t="str">
        <f>IF(G330="","",VLOOKUP(G330,REFERENCIA!$A$1:$B$14,2,0))</f>
        <v/>
      </c>
    </row>
    <row r="331" spans="8:8" x14ac:dyDescent="0.25">
      <c r="H331" t="str">
        <f>IF(G331="","",VLOOKUP(G331,REFERENCIA!$A$1:$B$14,2,0))</f>
        <v/>
      </c>
    </row>
    <row r="332" spans="8:8" x14ac:dyDescent="0.25">
      <c r="H332" t="str">
        <f>IF(G332="","",VLOOKUP(G332,REFERENCIA!$A$1:$B$14,2,0))</f>
        <v/>
      </c>
    </row>
    <row r="333" spans="8:8" x14ac:dyDescent="0.25">
      <c r="H333" t="str">
        <f>IF(G333="","",VLOOKUP(G333,REFERENCIA!$A$1:$B$14,2,0))</f>
        <v/>
      </c>
    </row>
    <row r="334" spans="8:8" x14ac:dyDescent="0.25">
      <c r="H334" t="str">
        <f>IF(G334="","",VLOOKUP(G334,REFERENCIA!$A$1:$B$14,2,0))</f>
        <v/>
      </c>
    </row>
    <row r="335" spans="8:8" x14ac:dyDescent="0.25">
      <c r="H335" t="str">
        <f>IF(G335="","",VLOOKUP(G335,REFERENCIA!$A$1:$B$14,2,0))</f>
        <v/>
      </c>
    </row>
    <row r="336" spans="8:8" x14ac:dyDescent="0.25">
      <c r="H336" t="str">
        <f>IF(G336="","",VLOOKUP(G336,REFERENCIA!$A$1:$B$14,2,0))</f>
        <v/>
      </c>
    </row>
    <row r="337" spans="8:8" x14ac:dyDescent="0.25">
      <c r="H337" t="str">
        <f>IF(G337="","",VLOOKUP(G337,REFERENCIA!$A$1:$B$14,2,0))</f>
        <v/>
      </c>
    </row>
    <row r="338" spans="8:8" x14ac:dyDescent="0.25">
      <c r="H338" t="str">
        <f>IF(G338="","",VLOOKUP(G338,REFERENCIA!$A$1:$B$14,2,0))</f>
        <v/>
      </c>
    </row>
    <row r="339" spans="8:8" x14ac:dyDescent="0.25">
      <c r="H339" t="str">
        <f>IF(G339="","",VLOOKUP(G339,REFERENCIA!$A$1:$B$14,2,0))</f>
        <v/>
      </c>
    </row>
    <row r="340" spans="8:8" x14ac:dyDescent="0.25">
      <c r="H340" t="str">
        <f>IF(G340="","",VLOOKUP(G340,REFERENCIA!$A$1:$B$14,2,0))</f>
        <v/>
      </c>
    </row>
    <row r="341" spans="8:8" x14ac:dyDescent="0.25">
      <c r="H341" t="str">
        <f>IF(G341="","",VLOOKUP(G341,REFERENCIA!$A$1:$B$14,2,0))</f>
        <v/>
      </c>
    </row>
    <row r="342" spans="8:8" x14ac:dyDescent="0.25">
      <c r="H342" t="str">
        <f>IF(G342="","",VLOOKUP(G342,REFERENCIA!$A$1:$B$14,2,0))</f>
        <v/>
      </c>
    </row>
    <row r="343" spans="8:8" x14ac:dyDescent="0.25">
      <c r="H343" t="str">
        <f>IF(G343="","",VLOOKUP(G343,REFERENCIA!$A$1:$B$14,2,0))</f>
        <v/>
      </c>
    </row>
    <row r="344" spans="8:8" x14ac:dyDescent="0.25">
      <c r="H344" t="str">
        <f>IF(G344="","",VLOOKUP(G344,REFERENCIA!$A$1:$B$14,2,0))</f>
        <v/>
      </c>
    </row>
    <row r="345" spans="8:8" x14ac:dyDescent="0.25">
      <c r="H345" t="str">
        <f>IF(G345="","",VLOOKUP(G345,REFERENCIA!$A$1:$B$14,2,0))</f>
        <v/>
      </c>
    </row>
    <row r="346" spans="8:8" x14ac:dyDescent="0.25">
      <c r="H346" t="str">
        <f>IF(G346="","",VLOOKUP(G346,REFERENCIA!$A$1:$B$14,2,0))</f>
        <v/>
      </c>
    </row>
    <row r="347" spans="8:8" x14ac:dyDescent="0.25">
      <c r="H347" t="str">
        <f>IF(G347="","",VLOOKUP(G347,REFERENCIA!$A$1:$B$14,2,0))</f>
        <v/>
      </c>
    </row>
    <row r="348" spans="8:8" x14ac:dyDescent="0.25">
      <c r="H348" t="str">
        <f>IF(G348="","",VLOOKUP(G348,REFERENCIA!$A$1:$B$14,2,0))</f>
        <v/>
      </c>
    </row>
    <row r="349" spans="8:8" x14ac:dyDescent="0.25">
      <c r="H349" t="str">
        <f>IF(G349="","",VLOOKUP(G349,REFERENCIA!$A$1:$B$14,2,0))</f>
        <v/>
      </c>
    </row>
    <row r="350" spans="8:8" x14ac:dyDescent="0.25">
      <c r="H350" t="str">
        <f>IF(G350="","",VLOOKUP(G350,REFERENCIA!$A$1:$B$14,2,0))</f>
        <v/>
      </c>
    </row>
    <row r="351" spans="8:8" x14ac:dyDescent="0.25">
      <c r="H351" t="str">
        <f>IF(G351="","",VLOOKUP(G351,REFERENCIA!$A$1:$B$14,2,0))</f>
        <v/>
      </c>
    </row>
    <row r="352" spans="8:8" x14ac:dyDescent="0.25">
      <c r="H352" t="str">
        <f>IF(G352="","",VLOOKUP(G352,REFERENCIA!$A$1:$B$14,2,0))</f>
        <v/>
      </c>
    </row>
    <row r="353" spans="8:8" x14ac:dyDescent="0.25">
      <c r="H353" t="str">
        <f>IF(G353="","",VLOOKUP(G353,REFERENCIA!$A$1:$B$14,2,0))</f>
        <v/>
      </c>
    </row>
    <row r="354" spans="8:8" x14ac:dyDescent="0.25">
      <c r="H354" t="str">
        <f>IF(G354="","",VLOOKUP(G354,REFERENCIA!$A$1:$B$14,2,0))</f>
        <v/>
      </c>
    </row>
    <row r="355" spans="8:8" x14ac:dyDescent="0.25">
      <c r="H355" t="str">
        <f>IF(G355="","",VLOOKUP(G355,REFERENCIA!$A$1:$B$14,2,0))</f>
        <v/>
      </c>
    </row>
    <row r="356" spans="8:8" x14ac:dyDescent="0.25">
      <c r="H356" t="str">
        <f>IF(G356="","",VLOOKUP(G356,REFERENCIA!$A$1:$B$14,2,0))</f>
        <v/>
      </c>
    </row>
    <row r="357" spans="8:8" x14ac:dyDescent="0.25">
      <c r="H357" t="str">
        <f>IF(G357="","",VLOOKUP(G357,REFERENCIA!$A$1:$B$14,2,0))</f>
        <v/>
      </c>
    </row>
    <row r="358" spans="8:8" x14ac:dyDescent="0.25">
      <c r="H358" t="str">
        <f>IF(G358="","",VLOOKUP(G358,REFERENCIA!$A$1:$B$14,2,0))</f>
        <v/>
      </c>
    </row>
    <row r="359" spans="8:8" x14ac:dyDescent="0.25">
      <c r="H359" t="str">
        <f>IF(G359="","",VLOOKUP(G359,REFERENCIA!$A$1:$B$14,2,0))</f>
        <v/>
      </c>
    </row>
    <row r="360" spans="8:8" x14ac:dyDescent="0.25">
      <c r="H360" t="str">
        <f>IF(G360="","",VLOOKUP(G360,REFERENCIA!$A$1:$B$14,2,0))</f>
        <v/>
      </c>
    </row>
    <row r="361" spans="8:8" x14ac:dyDescent="0.25">
      <c r="H361" t="str">
        <f>IF(G361="","",VLOOKUP(G361,REFERENCIA!$A$1:$B$14,2,0))</f>
        <v/>
      </c>
    </row>
    <row r="362" spans="8:8" x14ac:dyDescent="0.25">
      <c r="H362" t="str">
        <f>IF(G362="","",VLOOKUP(G362,REFERENCIA!$A$1:$B$14,2,0))</f>
        <v/>
      </c>
    </row>
    <row r="363" spans="8:8" x14ac:dyDescent="0.25">
      <c r="H363" t="str">
        <f>IF(G363="","",VLOOKUP(G363,REFERENCIA!$A$1:$B$14,2,0))</f>
        <v/>
      </c>
    </row>
    <row r="364" spans="8:8" x14ac:dyDescent="0.25">
      <c r="H364" t="str">
        <f>IF(G364="","",VLOOKUP(G364,REFERENCIA!$A$1:$B$14,2,0))</f>
        <v/>
      </c>
    </row>
    <row r="365" spans="8:8" x14ac:dyDescent="0.25">
      <c r="H365" t="str">
        <f>IF(G365="","",VLOOKUP(G365,REFERENCIA!$A$1:$B$14,2,0))</f>
        <v/>
      </c>
    </row>
    <row r="366" spans="8:8" x14ac:dyDescent="0.25">
      <c r="H366" t="str">
        <f>IF(G366="","",VLOOKUP(G366,REFERENCIA!$A$1:$B$14,2,0))</f>
        <v/>
      </c>
    </row>
    <row r="367" spans="8:8" x14ac:dyDescent="0.25">
      <c r="H367" t="str">
        <f>IF(G367="","",VLOOKUP(G367,REFERENCIA!$A$1:$B$14,2,0))</f>
        <v/>
      </c>
    </row>
    <row r="368" spans="8:8" x14ac:dyDescent="0.25">
      <c r="H368" t="str">
        <f>IF(G368="","",VLOOKUP(G368,REFERENCIA!$A$1:$B$14,2,0))</f>
        <v/>
      </c>
    </row>
    <row r="369" spans="8:8" x14ac:dyDescent="0.25">
      <c r="H369" t="str">
        <f>IF(G369="","",VLOOKUP(G369,REFERENCIA!$A$1:$B$14,2,0))</f>
        <v/>
      </c>
    </row>
    <row r="370" spans="8:8" x14ac:dyDescent="0.25">
      <c r="H370" t="str">
        <f>IF(G370="","",VLOOKUP(G370,REFERENCIA!$A$1:$B$14,2,0))</f>
        <v/>
      </c>
    </row>
    <row r="371" spans="8:8" x14ac:dyDescent="0.25">
      <c r="H371" t="str">
        <f>IF(G371="","",VLOOKUP(G371,REFERENCIA!$A$1:$B$14,2,0))</f>
        <v/>
      </c>
    </row>
    <row r="372" spans="8:8" x14ac:dyDescent="0.25">
      <c r="H372" t="str">
        <f>IF(G372="","",VLOOKUP(G372,REFERENCIA!$A$1:$B$14,2,0))</f>
        <v/>
      </c>
    </row>
    <row r="373" spans="8:8" x14ac:dyDescent="0.25">
      <c r="H373" t="str">
        <f>IF(G373="","",VLOOKUP(G373,REFERENCIA!$A$1:$B$14,2,0))</f>
        <v/>
      </c>
    </row>
    <row r="374" spans="8:8" x14ac:dyDescent="0.25">
      <c r="H374" t="str">
        <f>IF(G374="","",VLOOKUP(G374,REFERENCIA!$A$1:$B$14,2,0))</f>
        <v/>
      </c>
    </row>
    <row r="375" spans="8:8" x14ac:dyDescent="0.25">
      <c r="H375" t="str">
        <f>IF(G375="","",VLOOKUP(G375,REFERENCIA!$A$1:$B$14,2,0))</f>
        <v/>
      </c>
    </row>
    <row r="376" spans="8:8" x14ac:dyDescent="0.25">
      <c r="H376" t="str">
        <f>IF(G376="","",VLOOKUP(G376,REFERENCIA!$A$1:$B$14,2,0))</f>
        <v/>
      </c>
    </row>
    <row r="377" spans="8:8" x14ac:dyDescent="0.25">
      <c r="H377" t="str">
        <f>IF(G377="","",VLOOKUP(G377,REFERENCIA!$A$1:$B$14,2,0))</f>
        <v/>
      </c>
    </row>
    <row r="378" spans="8:8" x14ac:dyDescent="0.25">
      <c r="H378" t="str">
        <f>IF(G378="","",VLOOKUP(G378,REFERENCIA!$A$1:$B$14,2,0))</f>
        <v/>
      </c>
    </row>
    <row r="379" spans="8:8" x14ac:dyDescent="0.25">
      <c r="H379" t="str">
        <f>IF(G379="","",VLOOKUP(G379,REFERENCIA!$A$1:$B$14,2,0))</f>
        <v/>
      </c>
    </row>
    <row r="380" spans="8:8" x14ac:dyDescent="0.25">
      <c r="H380" t="str">
        <f>IF(G380="","",VLOOKUP(G380,REFERENCIA!$A$1:$B$14,2,0))</f>
        <v/>
      </c>
    </row>
    <row r="381" spans="8:8" x14ac:dyDescent="0.25">
      <c r="H381" t="str">
        <f>IF(G381="","",VLOOKUP(G381,REFERENCIA!$A$1:$B$14,2,0))</f>
        <v/>
      </c>
    </row>
    <row r="382" spans="8:8" x14ac:dyDescent="0.25">
      <c r="H382" t="str">
        <f>IF(G382="","",VLOOKUP(G382,REFERENCIA!$A$1:$B$14,2,0))</f>
        <v/>
      </c>
    </row>
    <row r="383" spans="8:8" x14ac:dyDescent="0.25">
      <c r="H383" t="str">
        <f>IF(G383="","",VLOOKUP(G383,REFERENCIA!$A$1:$B$14,2,0))</f>
        <v/>
      </c>
    </row>
    <row r="384" spans="8:8" x14ac:dyDescent="0.25">
      <c r="H384" t="str">
        <f>IF(G384="","",VLOOKUP(G384,REFERENCIA!$A$1:$B$14,2,0))</f>
        <v/>
      </c>
    </row>
    <row r="385" spans="8:8" x14ac:dyDescent="0.25">
      <c r="H385" t="str">
        <f>IF(G385="","",VLOOKUP(G385,REFERENCIA!$A$1:$B$14,2,0))</f>
        <v/>
      </c>
    </row>
    <row r="386" spans="8:8" x14ac:dyDescent="0.25">
      <c r="H386" t="str">
        <f>IF(G386="","",VLOOKUP(G386,REFERENCIA!$A$1:$B$14,2,0))</f>
        <v/>
      </c>
    </row>
    <row r="387" spans="8:8" x14ac:dyDescent="0.25">
      <c r="H387" t="str">
        <f>IF(G387="","",VLOOKUP(G387,REFERENCIA!$A$1:$B$14,2,0))</f>
        <v/>
      </c>
    </row>
    <row r="388" spans="8:8" x14ac:dyDescent="0.25">
      <c r="H388" t="str">
        <f>IF(G388="","",VLOOKUP(G388,REFERENCIA!$A$1:$B$14,2,0))</f>
        <v/>
      </c>
    </row>
    <row r="389" spans="8:8" x14ac:dyDescent="0.25">
      <c r="H389" t="str">
        <f>IF(G389="","",VLOOKUP(G389,REFERENCIA!$A$1:$B$14,2,0))</f>
        <v/>
      </c>
    </row>
    <row r="390" spans="8:8" x14ac:dyDescent="0.25">
      <c r="H390" t="str">
        <f>IF(G390="","",VLOOKUP(G390,REFERENCIA!$A$1:$B$14,2,0))</f>
        <v/>
      </c>
    </row>
    <row r="391" spans="8:8" x14ac:dyDescent="0.25">
      <c r="H391" t="str">
        <f>IF(G391="","",VLOOKUP(G391,REFERENCIA!$A$1:$B$14,2,0))</f>
        <v/>
      </c>
    </row>
    <row r="392" spans="8:8" x14ac:dyDescent="0.25">
      <c r="H392" t="str">
        <f>IF(G392="","",VLOOKUP(G392,REFERENCIA!$A$1:$B$14,2,0))</f>
        <v/>
      </c>
    </row>
    <row r="393" spans="8:8" x14ac:dyDescent="0.25">
      <c r="H393" t="str">
        <f>IF(G393="","",VLOOKUP(G393,REFERENCIA!$A$1:$B$14,2,0))</f>
        <v/>
      </c>
    </row>
    <row r="394" spans="8:8" x14ac:dyDescent="0.25">
      <c r="H394" t="str">
        <f>IF(G394="","",VLOOKUP(G394,REFERENCIA!$A$1:$B$14,2,0))</f>
        <v/>
      </c>
    </row>
    <row r="395" spans="8:8" x14ac:dyDescent="0.25">
      <c r="H395" t="str">
        <f>IF(G395="","",VLOOKUP(G395,REFERENCIA!$A$1:$B$14,2,0))</f>
        <v/>
      </c>
    </row>
    <row r="396" spans="8:8" x14ac:dyDescent="0.25">
      <c r="H396" t="str">
        <f>IF(G396="","",VLOOKUP(G396,REFERENCIA!$A$1:$B$14,2,0))</f>
        <v/>
      </c>
    </row>
    <row r="397" spans="8:8" x14ac:dyDescent="0.25">
      <c r="H397" t="str">
        <f>IF(G397="","",VLOOKUP(G397,REFERENCIA!$A$1:$B$14,2,0))</f>
        <v/>
      </c>
    </row>
    <row r="398" spans="8:8" x14ac:dyDescent="0.25">
      <c r="H398" t="str">
        <f>IF(G398="","",VLOOKUP(G398,REFERENCIA!$A$1:$B$14,2,0))</f>
        <v/>
      </c>
    </row>
    <row r="399" spans="8:8" x14ac:dyDescent="0.25">
      <c r="H399" t="str">
        <f>IF(G399="","",VLOOKUP(G399,REFERENCIA!$A$1:$B$14,2,0))</f>
        <v/>
      </c>
    </row>
    <row r="400" spans="8:8" x14ac:dyDescent="0.25">
      <c r="H400" t="str">
        <f>IF(G400="","",VLOOKUP(G400,REFERENCIA!$A$1:$B$14,2,0))</f>
        <v/>
      </c>
    </row>
    <row r="401" spans="8:8" x14ac:dyDescent="0.25">
      <c r="H401" t="str">
        <f>IF(G401="","",VLOOKUP(G401,REFERENCIA!$A$1:$B$14,2,0))</f>
        <v/>
      </c>
    </row>
    <row r="402" spans="8:8" x14ac:dyDescent="0.25">
      <c r="H402" t="str">
        <f>IF(G402="","",VLOOKUP(G402,REFERENCIA!$A$1:$B$14,2,0))</f>
        <v/>
      </c>
    </row>
    <row r="403" spans="8:8" x14ac:dyDescent="0.25">
      <c r="H403" t="str">
        <f>IF(G403="","",VLOOKUP(G403,REFERENCIA!$A$1:$B$14,2,0))</f>
        <v/>
      </c>
    </row>
    <row r="404" spans="8:8" x14ac:dyDescent="0.25">
      <c r="H404" t="str">
        <f>IF(G404="","",VLOOKUP(G404,REFERENCIA!$A$1:$B$14,2,0))</f>
        <v/>
      </c>
    </row>
    <row r="405" spans="8:8" x14ac:dyDescent="0.25">
      <c r="H405" t="str">
        <f>IF(G405="","",VLOOKUP(G405,REFERENCIA!$A$1:$B$14,2,0))</f>
        <v/>
      </c>
    </row>
    <row r="406" spans="8:8" x14ac:dyDescent="0.25">
      <c r="H406" t="str">
        <f>IF(G406="","",VLOOKUP(G406,REFERENCIA!$A$1:$B$14,2,0))</f>
        <v/>
      </c>
    </row>
    <row r="407" spans="8:8" x14ac:dyDescent="0.25">
      <c r="H407" t="str">
        <f>IF(G407="","",VLOOKUP(G407,REFERENCIA!$A$1:$B$14,2,0))</f>
        <v/>
      </c>
    </row>
    <row r="408" spans="8:8" x14ac:dyDescent="0.25">
      <c r="H408" t="str">
        <f>IF(G408="","",VLOOKUP(G408,REFERENCIA!$A$1:$B$14,2,0))</f>
        <v/>
      </c>
    </row>
    <row r="409" spans="8:8" x14ac:dyDescent="0.25">
      <c r="H409" t="str">
        <f>IF(G409="","",VLOOKUP(G409,REFERENCIA!$A$1:$B$14,2,0))</f>
        <v/>
      </c>
    </row>
    <row r="410" spans="8:8" x14ac:dyDescent="0.25">
      <c r="H410" t="str">
        <f>IF(G410="","",VLOOKUP(G410,REFERENCIA!$A$1:$B$14,2,0))</f>
        <v/>
      </c>
    </row>
    <row r="411" spans="8:8" x14ac:dyDescent="0.25">
      <c r="H411" t="str">
        <f>IF(G411="","",VLOOKUP(G411,REFERENCIA!$A$1:$B$14,2,0))</f>
        <v/>
      </c>
    </row>
    <row r="412" spans="8:8" x14ac:dyDescent="0.25">
      <c r="H412" t="str">
        <f>IF(G412="","",VLOOKUP(G412,REFERENCIA!$A$1:$B$14,2,0))</f>
        <v/>
      </c>
    </row>
    <row r="413" spans="8:8" x14ac:dyDescent="0.25">
      <c r="H413" t="str">
        <f>IF(G413="","",VLOOKUP(G413,REFERENCIA!$A$1:$B$14,2,0))</f>
        <v/>
      </c>
    </row>
    <row r="414" spans="8:8" x14ac:dyDescent="0.25">
      <c r="H414" t="str">
        <f>IF(G414="","",VLOOKUP(G414,REFERENCIA!$A$1:$B$14,2,0))</f>
        <v/>
      </c>
    </row>
    <row r="415" spans="8:8" x14ac:dyDescent="0.25">
      <c r="H415" t="str">
        <f>IF(G415="","",VLOOKUP(G415,REFERENCIA!$A$1:$B$14,2,0))</f>
        <v/>
      </c>
    </row>
    <row r="416" spans="8:8" x14ac:dyDescent="0.25">
      <c r="H416" t="str">
        <f>IF(G416="","",VLOOKUP(G416,REFERENCIA!$A$1:$B$14,2,0))</f>
        <v/>
      </c>
    </row>
    <row r="417" spans="8:8" x14ac:dyDescent="0.25">
      <c r="H417" t="str">
        <f>IF(G417="","",VLOOKUP(G417,REFERENCIA!$A$1:$B$14,2,0))</f>
        <v/>
      </c>
    </row>
    <row r="418" spans="8:8" x14ac:dyDescent="0.25">
      <c r="H418" t="str">
        <f>IF(G418="","",VLOOKUP(G418,REFERENCIA!$A$1:$B$14,2,0))</f>
        <v/>
      </c>
    </row>
    <row r="419" spans="8:8" x14ac:dyDescent="0.25">
      <c r="H419" t="str">
        <f>IF(G419="","",VLOOKUP(G419,REFERENCIA!$A$1:$B$14,2,0))</f>
        <v/>
      </c>
    </row>
    <row r="420" spans="8:8" x14ac:dyDescent="0.25">
      <c r="H420" t="str">
        <f>IF(G420="","",VLOOKUP(G420,REFERENCIA!$A$1:$B$14,2,0))</f>
        <v/>
      </c>
    </row>
    <row r="421" spans="8:8" x14ac:dyDescent="0.25">
      <c r="H421" t="str">
        <f>IF(G421="","",VLOOKUP(G421,REFERENCIA!$A$1:$B$14,2,0))</f>
        <v/>
      </c>
    </row>
    <row r="422" spans="8:8" x14ac:dyDescent="0.25">
      <c r="H422" t="str">
        <f>IF(G422="","",VLOOKUP(G422,REFERENCIA!$A$1:$B$14,2,0))</f>
        <v/>
      </c>
    </row>
    <row r="423" spans="8:8" x14ac:dyDescent="0.25">
      <c r="H423" t="str">
        <f>IF(G423="","",VLOOKUP(G423,REFERENCIA!$A$1:$B$14,2,0))</f>
        <v/>
      </c>
    </row>
    <row r="424" spans="8:8" x14ac:dyDescent="0.25">
      <c r="H424" t="str">
        <f>IF(G424="","",VLOOKUP(G424,REFERENCIA!$A$1:$B$14,2,0))</f>
        <v/>
      </c>
    </row>
    <row r="425" spans="8:8" x14ac:dyDescent="0.25">
      <c r="H425" t="str">
        <f>IF(G425="","",VLOOKUP(G425,REFERENCIA!$A$1:$B$14,2,0))</f>
        <v/>
      </c>
    </row>
    <row r="426" spans="8:8" x14ac:dyDescent="0.25">
      <c r="H426" t="str">
        <f>IF(G426="","",VLOOKUP(G426,REFERENCIA!$A$1:$B$14,2,0))</f>
        <v/>
      </c>
    </row>
    <row r="427" spans="8:8" x14ac:dyDescent="0.25">
      <c r="H427" t="str">
        <f>IF(G427="","",VLOOKUP(G427,REFERENCIA!$A$1:$B$14,2,0))</f>
        <v/>
      </c>
    </row>
    <row r="428" spans="8:8" x14ac:dyDescent="0.25">
      <c r="H428" t="str">
        <f>IF(G428="","",VLOOKUP(G428,REFERENCIA!$A$1:$B$14,2,0))</f>
        <v/>
      </c>
    </row>
    <row r="429" spans="8:8" x14ac:dyDescent="0.25">
      <c r="H429" t="str">
        <f>IF(G429="","",VLOOKUP(G429,REFERENCIA!$A$1:$B$14,2,0))</f>
        <v/>
      </c>
    </row>
    <row r="430" spans="8:8" x14ac:dyDescent="0.25">
      <c r="H430" t="str">
        <f>IF(G430="","",VLOOKUP(G430,REFERENCIA!$A$1:$B$14,2,0))</f>
        <v/>
      </c>
    </row>
    <row r="431" spans="8:8" x14ac:dyDescent="0.25">
      <c r="H431" t="str">
        <f>IF(G431="","",VLOOKUP(G431,REFERENCIA!$A$1:$B$14,2,0))</f>
        <v/>
      </c>
    </row>
    <row r="432" spans="8:8" x14ac:dyDescent="0.25">
      <c r="H432" t="str">
        <f>IF(G432="","",VLOOKUP(G432,REFERENCIA!$A$1:$B$14,2,0))</f>
        <v/>
      </c>
    </row>
    <row r="433" spans="8:8" x14ac:dyDescent="0.25">
      <c r="H433" t="str">
        <f>IF(G433="","",VLOOKUP(G433,REFERENCIA!$A$1:$B$14,2,0))</f>
        <v/>
      </c>
    </row>
    <row r="434" spans="8:8" x14ac:dyDescent="0.25">
      <c r="H434" t="str">
        <f>IF(G434="","",VLOOKUP(G434,REFERENCIA!$A$1:$B$14,2,0))</f>
        <v/>
      </c>
    </row>
    <row r="435" spans="8:8" x14ac:dyDescent="0.25">
      <c r="H435" t="str">
        <f>IF(G435="","",VLOOKUP(G435,REFERENCIA!$A$1:$B$14,2,0))</f>
        <v/>
      </c>
    </row>
    <row r="436" spans="8:8" x14ac:dyDescent="0.25">
      <c r="H436" t="str">
        <f>IF(G436="","",VLOOKUP(G436,REFERENCIA!$A$1:$B$14,2,0))</f>
        <v/>
      </c>
    </row>
    <row r="437" spans="8:8" x14ac:dyDescent="0.25">
      <c r="H437" t="str">
        <f>IF(G437="","",VLOOKUP(G437,REFERENCIA!$A$1:$B$14,2,0))</f>
        <v/>
      </c>
    </row>
    <row r="438" spans="8:8" x14ac:dyDescent="0.25">
      <c r="H438" t="str">
        <f>IF(G438="","",VLOOKUP(G438,REFERENCIA!$A$1:$B$14,2,0))</f>
        <v/>
      </c>
    </row>
    <row r="439" spans="8:8" x14ac:dyDescent="0.25">
      <c r="H439" t="str">
        <f>IF(G439="","",VLOOKUP(G439,REFERENCIA!$A$1:$B$14,2,0))</f>
        <v/>
      </c>
    </row>
    <row r="440" spans="8:8" x14ac:dyDescent="0.25">
      <c r="H440" t="str">
        <f>IF(G440="","",VLOOKUP(G440,REFERENCIA!$A$1:$B$14,2,0))</f>
        <v/>
      </c>
    </row>
    <row r="441" spans="8:8" x14ac:dyDescent="0.25">
      <c r="H441" t="str">
        <f>IF(G441="","",VLOOKUP(G441,REFERENCIA!$A$1:$B$14,2,0))</f>
        <v/>
      </c>
    </row>
    <row r="442" spans="8:8" x14ac:dyDescent="0.25">
      <c r="H442" t="str">
        <f>IF(G442="","",VLOOKUP(G442,REFERENCIA!$A$1:$B$14,2,0))</f>
        <v/>
      </c>
    </row>
    <row r="443" spans="8:8" x14ac:dyDescent="0.25">
      <c r="H443" t="str">
        <f>IF(G443="","",VLOOKUP(G443,REFERENCIA!$A$1:$B$14,2,0))</f>
        <v/>
      </c>
    </row>
    <row r="444" spans="8:8" x14ac:dyDescent="0.25">
      <c r="H444" t="str">
        <f>IF(G444="","",VLOOKUP(G444,REFERENCIA!$A$1:$B$14,2,0))</f>
        <v/>
      </c>
    </row>
    <row r="445" spans="8:8" x14ac:dyDescent="0.25">
      <c r="H445" t="str">
        <f>IF(G445="","",VLOOKUP(G445,REFERENCIA!$A$1:$B$14,2,0))</f>
        <v/>
      </c>
    </row>
    <row r="446" spans="8:8" x14ac:dyDescent="0.25">
      <c r="H446" t="str">
        <f>IF(G446="","",VLOOKUP(G446,REFERENCIA!$A$1:$B$14,2,0))</f>
        <v/>
      </c>
    </row>
    <row r="447" spans="8:8" x14ac:dyDescent="0.25">
      <c r="H447" t="str">
        <f>IF(G447="","",VLOOKUP(G447,REFERENCIA!$A$1:$B$14,2,0))</f>
        <v/>
      </c>
    </row>
    <row r="448" spans="8:8" x14ac:dyDescent="0.25">
      <c r="H448" t="str">
        <f>IF(G448="","",VLOOKUP(G448,REFERENCIA!$A$1:$B$14,2,0))</f>
        <v/>
      </c>
    </row>
    <row r="449" spans="8:8" x14ac:dyDescent="0.25">
      <c r="H449" t="str">
        <f>IF(G449="","",VLOOKUP(G449,REFERENCIA!$A$1:$B$14,2,0))</f>
        <v/>
      </c>
    </row>
    <row r="450" spans="8:8" x14ac:dyDescent="0.25">
      <c r="H450" t="str">
        <f>IF(G450="","",VLOOKUP(G450,REFERENCIA!$A$1:$B$14,2,0))</f>
        <v/>
      </c>
    </row>
    <row r="451" spans="8:8" x14ac:dyDescent="0.25">
      <c r="H451" t="str">
        <f>IF(G451="","",VLOOKUP(G451,REFERENCIA!$A$1:$B$14,2,0))</f>
        <v/>
      </c>
    </row>
    <row r="452" spans="8:8" x14ac:dyDescent="0.25">
      <c r="H452" t="str">
        <f>IF(G452="","",VLOOKUP(G452,REFERENCIA!$A$1:$B$14,2,0))</f>
        <v/>
      </c>
    </row>
    <row r="453" spans="8:8" x14ac:dyDescent="0.25">
      <c r="H453" t="str">
        <f>IF(G453="","",VLOOKUP(G453,REFERENCIA!$A$1:$B$14,2,0))</f>
        <v/>
      </c>
    </row>
    <row r="454" spans="8:8" x14ac:dyDescent="0.25">
      <c r="H454" t="str">
        <f>IF(G454="","",VLOOKUP(G454,REFERENCIA!$A$1:$B$14,2,0))</f>
        <v/>
      </c>
    </row>
    <row r="455" spans="8:8" x14ac:dyDescent="0.25">
      <c r="H455" t="str">
        <f>IF(G455="","",VLOOKUP(G455,REFERENCIA!$A$1:$B$14,2,0))</f>
        <v/>
      </c>
    </row>
    <row r="456" spans="8:8" x14ac:dyDescent="0.25">
      <c r="H456" t="str">
        <f>IF(G456="","",VLOOKUP(G456,REFERENCIA!$A$1:$B$14,2,0))</f>
        <v/>
      </c>
    </row>
    <row r="457" spans="8:8" x14ac:dyDescent="0.25">
      <c r="H457" t="str">
        <f>IF(G457="","",VLOOKUP(G457,REFERENCIA!$A$1:$B$14,2,0))</f>
        <v/>
      </c>
    </row>
    <row r="458" spans="8:8" x14ac:dyDescent="0.25">
      <c r="H458" t="str">
        <f>IF(G458="","",VLOOKUP(G458,REFERENCIA!$A$1:$B$14,2,0))</f>
        <v/>
      </c>
    </row>
    <row r="459" spans="8:8" x14ac:dyDescent="0.25">
      <c r="H459" t="str">
        <f>IF(G459="","",VLOOKUP(G459,REFERENCIA!$A$1:$B$14,2,0))</f>
        <v/>
      </c>
    </row>
    <row r="460" spans="8:8" x14ac:dyDescent="0.25">
      <c r="H460" t="str">
        <f>IF(G460="","",VLOOKUP(G460,REFERENCIA!$A$1:$B$14,2,0))</f>
        <v/>
      </c>
    </row>
    <row r="461" spans="8:8" x14ac:dyDescent="0.25">
      <c r="H461" t="str">
        <f>IF(G461="","",VLOOKUP(G461,REFERENCIA!$A$1:$B$14,2,0))</f>
        <v/>
      </c>
    </row>
    <row r="462" spans="8:8" x14ac:dyDescent="0.25">
      <c r="H462" t="str">
        <f>IF(G462="","",VLOOKUP(G462,REFERENCIA!$A$1:$B$14,2,0))</f>
        <v/>
      </c>
    </row>
    <row r="463" spans="8:8" x14ac:dyDescent="0.25">
      <c r="H463" t="str">
        <f>IF(G463="","",VLOOKUP(G463,REFERENCIA!$A$1:$B$14,2,0))</f>
        <v/>
      </c>
    </row>
    <row r="464" spans="8:8" x14ac:dyDescent="0.25">
      <c r="H464" t="str">
        <f>IF(G464="","",VLOOKUP(G464,REFERENCIA!$A$1:$B$14,2,0))</f>
        <v/>
      </c>
    </row>
    <row r="465" spans="8:8" x14ac:dyDescent="0.25">
      <c r="H465" t="str">
        <f>IF(G465="","",VLOOKUP(G465,REFERENCIA!$A$1:$B$14,2,0))</f>
        <v/>
      </c>
    </row>
    <row r="466" spans="8:8" x14ac:dyDescent="0.25">
      <c r="H466" t="str">
        <f>IF(G466="","",VLOOKUP(G466,REFERENCIA!$A$1:$B$14,2,0))</f>
        <v/>
      </c>
    </row>
    <row r="467" spans="8:8" x14ac:dyDescent="0.25">
      <c r="H467" t="str">
        <f>IF(G467="","",VLOOKUP(G467,REFERENCIA!$A$1:$B$14,2,0))</f>
        <v/>
      </c>
    </row>
    <row r="468" spans="8:8" x14ac:dyDescent="0.25">
      <c r="H468" t="str">
        <f>IF(G468="","",VLOOKUP(G468,REFERENCIA!$A$1:$B$14,2,0))</f>
        <v/>
      </c>
    </row>
    <row r="469" spans="8:8" x14ac:dyDescent="0.25">
      <c r="H469" t="str">
        <f>IF(G469="","",VLOOKUP(G469,REFERENCIA!$A$1:$B$14,2,0))</f>
        <v/>
      </c>
    </row>
    <row r="470" spans="8:8" x14ac:dyDescent="0.25">
      <c r="H470" t="str">
        <f>IF(G470="","",VLOOKUP(G470,REFERENCIA!$A$1:$B$14,2,0))</f>
        <v/>
      </c>
    </row>
    <row r="471" spans="8:8" x14ac:dyDescent="0.25">
      <c r="H471" t="str">
        <f>IF(G471="","",VLOOKUP(G471,REFERENCIA!$A$1:$B$14,2,0))</f>
        <v/>
      </c>
    </row>
    <row r="472" spans="8:8" x14ac:dyDescent="0.25">
      <c r="H472" t="str">
        <f>IF(G472="","",VLOOKUP(G472,REFERENCIA!$A$1:$B$14,2,0))</f>
        <v/>
      </c>
    </row>
    <row r="473" spans="8:8" x14ac:dyDescent="0.25">
      <c r="H473" t="str">
        <f>IF(G473="","",VLOOKUP(G473,REFERENCIA!$A$1:$B$14,2,0))</f>
        <v/>
      </c>
    </row>
    <row r="474" spans="8:8" x14ac:dyDescent="0.25">
      <c r="H474" t="str">
        <f>IF(G474="","",VLOOKUP(G474,REFERENCIA!$A$1:$B$14,2,0))</f>
        <v/>
      </c>
    </row>
    <row r="475" spans="8:8" x14ac:dyDescent="0.25">
      <c r="H475" t="str">
        <f>IF(G475="","",VLOOKUP(G475,REFERENCIA!$A$1:$B$14,2,0))</f>
        <v/>
      </c>
    </row>
    <row r="476" spans="8:8" x14ac:dyDescent="0.25">
      <c r="H476" t="str">
        <f>IF(G476="","",VLOOKUP(G476,REFERENCIA!$A$1:$B$14,2,0))</f>
        <v/>
      </c>
    </row>
    <row r="477" spans="8:8" x14ac:dyDescent="0.25">
      <c r="H477" t="str">
        <f>IF(G477="","",VLOOKUP(G477,REFERENCIA!$A$1:$B$14,2,0))</f>
        <v/>
      </c>
    </row>
    <row r="478" spans="8:8" x14ac:dyDescent="0.25">
      <c r="H478" t="str">
        <f>IF(G478="","",VLOOKUP(G478,REFERENCIA!$A$1:$B$14,2,0))</f>
        <v/>
      </c>
    </row>
    <row r="479" spans="8:8" x14ac:dyDescent="0.25">
      <c r="H479" t="str">
        <f>IF(G479="","",VLOOKUP(G479,REFERENCIA!$A$1:$B$14,2,0))</f>
        <v/>
      </c>
    </row>
    <row r="480" spans="8:8" x14ac:dyDescent="0.25">
      <c r="H480" t="str">
        <f>IF(G480="","",VLOOKUP(G480,REFERENCIA!$A$1:$B$14,2,0))</f>
        <v/>
      </c>
    </row>
    <row r="481" spans="8:8" x14ac:dyDescent="0.25">
      <c r="H481" t="str">
        <f>IF(G481="","",VLOOKUP(G481,REFERENCIA!$A$1:$B$14,2,0))</f>
        <v/>
      </c>
    </row>
    <row r="482" spans="8:8" x14ac:dyDescent="0.25">
      <c r="H482" t="str">
        <f>IF(G482="","",VLOOKUP(G482,REFERENCIA!$A$1:$B$14,2,0))</f>
        <v/>
      </c>
    </row>
    <row r="483" spans="8:8" x14ac:dyDescent="0.25">
      <c r="H483" t="str">
        <f>IF(G483="","",VLOOKUP(G483,REFERENCIA!$A$1:$B$14,2,0))</f>
        <v/>
      </c>
    </row>
    <row r="484" spans="8:8" x14ac:dyDescent="0.25">
      <c r="H484" t="str">
        <f>IF(G484="","",VLOOKUP(G484,REFERENCIA!$A$1:$B$14,2,0))</f>
        <v/>
      </c>
    </row>
    <row r="485" spans="8:8" x14ac:dyDescent="0.25">
      <c r="H485" t="str">
        <f>IF(G485="","",VLOOKUP(G485,REFERENCIA!$A$1:$B$14,2,0))</f>
        <v/>
      </c>
    </row>
    <row r="486" spans="8:8" x14ac:dyDescent="0.25">
      <c r="H486" t="str">
        <f>IF(G486="","",VLOOKUP(G486,REFERENCIA!$A$1:$B$14,2,0))</f>
        <v/>
      </c>
    </row>
    <row r="487" spans="8:8" x14ac:dyDescent="0.25">
      <c r="H487" t="str">
        <f>IF(G487="","",VLOOKUP(G487,REFERENCIA!$A$1:$B$14,2,0))</f>
        <v/>
      </c>
    </row>
    <row r="488" spans="8:8" x14ac:dyDescent="0.25">
      <c r="H488" t="str">
        <f>IF(G488="","",VLOOKUP(G488,REFERENCIA!$A$1:$B$14,2,0))</f>
        <v/>
      </c>
    </row>
    <row r="489" spans="8:8" x14ac:dyDescent="0.25">
      <c r="H489" t="str">
        <f>IF(G489="","",VLOOKUP(G489,REFERENCIA!$A$1:$B$14,2,0))</f>
        <v/>
      </c>
    </row>
    <row r="490" spans="8:8" x14ac:dyDescent="0.25">
      <c r="H490" t="str">
        <f>IF(G490="","",VLOOKUP(G490,REFERENCIA!$A$1:$B$14,2,0))</f>
        <v/>
      </c>
    </row>
    <row r="491" spans="8:8" x14ac:dyDescent="0.25">
      <c r="H491" t="str">
        <f>IF(G491="","",VLOOKUP(G491,REFERENCIA!$A$1:$B$14,2,0))</f>
        <v/>
      </c>
    </row>
    <row r="492" spans="8:8" x14ac:dyDescent="0.25">
      <c r="H492" t="str">
        <f>IF(G492="","",VLOOKUP(G492,REFERENCIA!$A$1:$B$14,2,0))</f>
        <v/>
      </c>
    </row>
    <row r="493" spans="8:8" x14ac:dyDescent="0.25">
      <c r="H493" t="str">
        <f>IF(G493="","",VLOOKUP(G493,REFERENCIA!$A$1:$B$14,2,0))</f>
        <v/>
      </c>
    </row>
    <row r="494" spans="8:8" x14ac:dyDescent="0.25">
      <c r="H494" t="str">
        <f>IF(G494="","",VLOOKUP(G494,REFERENCIA!$A$1:$B$14,2,0))</f>
        <v/>
      </c>
    </row>
    <row r="495" spans="8:8" x14ac:dyDescent="0.25">
      <c r="H495" t="str">
        <f>IF(G495="","",VLOOKUP(G495,REFERENCIA!$A$1:$B$14,2,0))</f>
        <v/>
      </c>
    </row>
    <row r="496" spans="8:8" x14ac:dyDescent="0.25">
      <c r="H496" t="str">
        <f>IF(G496="","",VLOOKUP(G496,REFERENCIA!$A$1:$B$14,2,0))</f>
        <v/>
      </c>
    </row>
    <row r="497" spans="8:8" x14ac:dyDescent="0.25">
      <c r="H497" t="str">
        <f>IF(G497="","",VLOOKUP(G497,REFERENCIA!$A$1:$B$14,2,0))</f>
        <v/>
      </c>
    </row>
    <row r="498" spans="8:8" x14ac:dyDescent="0.25">
      <c r="H498" t="str">
        <f>IF(G498="","",VLOOKUP(G498,REFERENCIA!$A$1:$B$14,2,0))</f>
        <v/>
      </c>
    </row>
    <row r="499" spans="8:8" x14ac:dyDescent="0.25">
      <c r="H499" t="str">
        <f>IF(G499="","",VLOOKUP(G499,REFERENCIA!$A$1:$B$14,2,0))</f>
        <v/>
      </c>
    </row>
    <row r="500" spans="8:8" x14ac:dyDescent="0.25">
      <c r="H500" t="str">
        <f>IF(G500="","",VLOOKUP(G500,REFERENCIA!$A$1:$B$14,2,0))</f>
        <v/>
      </c>
    </row>
  </sheetData>
  <conditionalFormatting sqref="B12:B13">
    <cfRule type="duplicateValues" dxfId="17" priority="11"/>
    <cfRule type="duplicateValues" dxfId="16" priority="12"/>
  </conditionalFormatting>
  <conditionalFormatting sqref="B31:B32">
    <cfRule type="duplicateValues" dxfId="15" priority="13"/>
    <cfRule type="duplicateValues" dxfId="14" priority="14"/>
  </conditionalFormatting>
  <conditionalFormatting sqref="B40">
    <cfRule type="duplicateValues" dxfId="13" priority="15"/>
    <cfRule type="duplicateValues" dxfId="12" priority="16"/>
  </conditionalFormatting>
  <conditionalFormatting sqref="B41:B43">
    <cfRule type="duplicateValues" dxfId="11" priority="17"/>
    <cfRule type="duplicateValues" dxfId="10" priority="18"/>
  </conditionalFormatting>
  <conditionalFormatting sqref="C12:C13">
    <cfRule type="duplicateValues" dxfId="9" priority="1"/>
    <cfRule type="duplicateValues" dxfId="8" priority="2"/>
  </conditionalFormatting>
  <conditionalFormatting sqref="C31:C32">
    <cfRule type="duplicateValues" dxfId="7" priority="3"/>
    <cfRule type="duplicateValues" dxfId="6" priority="4"/>
  </conditionalFormatting>
  <conditionalFormatting sqref="C40">
    <cfRule type="duplicateValues" dxfId="5" priority="5"/>
    <cfRule type="duplicateValues" dxfId="4" priority="6"/>
  </conditionalFormatting>
  <conditionalFormatting sqref="C41">
    <cfRule type="duplicateValues" dxfId="3" priority="7"/>
    <cfRule type="duplicateValues" dxfId="2" priority="8"/>
  </conditionalFormatting>
  <conditionalFormatting sqref="C49:C50">
    <cfRule type="duplicateValues" dxfId="1" priority="9"/>
    <cfRule type="duplicateValues" dxfId="0" priority="10"/>
  </conditionalFormatting>
  <dataValidations count="1">
    <dataValidation type="custom" allowBlank="1" showInputMessage="1" showErrorMessage="1" sqref="B52:C53 B31:B47 B15:C15 B12:C13 C21 C31:C41 C44:C46 C10 C49:C50" xr:uid="{6B58913E-DB5D-4226-A8BD-2DFC806AB629}">
      <formula1>22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11</v>
      </c>
    </row>
    <row r="3" spans="1:2" x14ac:dyDescent="0.25">
      <c r="A3" t="s">
        <v>13</v>
      </c>
      <c r="B3" t="s">
        <v>11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15</v>
      </c>
    </row>
    <row r="6" spans="1:2" x14ac:dyDescent="0.25">
      <c r="A6" t="s">
        <v>17</v>
      </c>
      <c r="B6" t="s">
        <v>15</v>
      </c>
    </row>
    <row r="7" spans="1:2" x14ac:dyDescent="0.25">
      <c r="A7" t="s">
        <v>18</v>
      </c>
      <c r="B7" t="s">
        <v>15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20</v>
      </c>
    </row>
    <row r="10" spans="1:2" x14ac:dyDescent="0.25">
      <c r="A10" t="s">
        <v>22</v>
      </c>
      <c r="B10" t="s">
        <v>20</v>
      </c>
    </row>
    <row r="11" spans="1:2" x14ac:dyDescent="0.25">
      <c r="A11" t="s">
        <v>23</v>
      </c>
      <c r="B11" t="s">
        <v>20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25</v>
      </c>
    </row>
    <row r="14" spans="1:2" x14ac:dyDescent="0.2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Monitores 123456</cp:lastModifiedBy>
  <dcterms:created xsi:type="dcterms:W3CDTF">2026-04-24T19:53:18Z</dcterms:created>
  <dcterms:modified xsi:type="dcterms:W3CDTF">2026-04-27T11:13:59Z</dcterms:modified>
</cp:coreProperties>
</file>